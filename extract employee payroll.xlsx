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ECDC338-935F-44DD-8C48-966A0EB8B757}" xr6:coauthVersionLast="47" xr6:coauthVersionMax="47" xr10:uidLastSave="{00000000-0000-0000-0000-000000000000}"/>
  <bookViews>
    <workbookView xWindow="-120" yWindow="-120" windowWidth="20730" windowHeight="11160" activeTab="1" xr2:uid="{63E6CEB3-B54D-4C4B-B27F-D355F0D1773F}"/>
  </bookViews>
  <sheets>
    <sheet name="Sheet1" sheetId="1" r:id="rId1"/>
    <sheet name="Employee Payro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2" l="1"/>
  <c r="J28" i="2"/>
  <c r="I28" i="2"/>
  <c r="H28" i="2"/>
  <c r="G28" i="2"/>
  <c r="F28" i="2"/>
  <c r="E28" i="2"/>
  <c r="L27" i="2"/>
  <c r="J27" i="2"/>
  <c r="I27" i="2"/>
  <c r="H27" i="2"/>
  <c r="G27" i="2"/>
  <c r="F27" i="2"/>
  <c r="E27" i="2"/>
  <c r="L26" i="2"/>
  <c r="J26" i="2"/>
  <c r="I26" i="2"/>
  <c r="H26" i="2"/>
  <c r="G26" i="2"/>
  <c r="F26" i="2"/>
  <c r="E26" i="2"/>
  <c r="L25" i="2"/>
  <c r="J25" i="2"/>
  <c r="I25" i="2"/>
  <c r="H25" i="2"/>
  <c r="G25" i="2"/>
  <c r="F25" i="2"/>
  <c r="E25" i="2"/>
  <c r="AL23" i="2"/>
  <c r="AA23" i="2"/>
  <c r="AF23" i="2" s="1"/>
  <c r="Z23" i="2"/>
  <c r="AE23" i="2" s="1"/>
  <c r="V23" i="2"/>
  <c r="U23" i="2"/>
  <c r="T23" i="2"/>
  <c r="Y23" i="2" s="1"/>
  <c r="S23" i="2"/>
  <c r="X23" i="2" s="1"/>
  <c r="R23" i="2"/>
  <c r="W23" i="2" s="1"/>
  <c r="AB23" i="2" s="1"/>
  <c r="AG23" i="2" s="1"/>
  <c r="Q23" i="2"/>
  <c r="P23" i="2"/>
  <c r="O23" i="2"/>
  <c r="N23" i="2"/>
  <c r="M23" i="2"/>
  <c r="AI22" i="2"/>
  <c r="Z22" i="2"/>
  <c r="AE22" i="2" s="1"/>
  <c r="Y22" i="2"/>
  <c r="AD22" i="2" s="1"/>
  <c r="V22" i="2"/>
  <c r="AA22" i="2" s="1"/>
  <c r="U22" i="2"/>
  <c r="T22" i="2"/>
  <c r="S22" i="2"/>
  <c r="X22" i="2" s="1"/>
  <c r="AC22" i="2" s="1"/>
  <c r="R22" i="2"/>
  <c r="W22" i="2" s="1"/>
  <c r="Q22" i="2"/>
  <c r="P22" i="2"/>
  <c r="O22" i="2"/>
  <c r="N22" i="2"/>
  <c r="M22" i="2"/>
  <c r="X21" i="2"/>
  <c r="V21" i="2"/>
  <c r="AA21" i="2" s="1"/>
  <c r="AF21" i="2" s="1"/>
  <c r="U21" i="2"/>
  <c r="Z21" i="2" s="1"/>
  <c r="AE21" i="2" s="1"/>
  <c r="T21" i="2"/>
  <c r="Y21" i="2" s="1"/>
  <c r="AD21" i="2" s="1"/>
  <c r="S21" i="2"/>
  <c r="R21" i="2"/>
  <c r="W21" i="2" s="1"/>
  <c r="Q21" i="2"/>
  <c r="P21" i="2"/>
  <c r="O21" i="2"/>
  <c r="N21" i="2"/>
  <c r="M21" i="2"/>
  <c r="AB21" i="2" s="1"/>
  <c r="AG20" i="2"/>
  <c r="AB20" i="2"/>
  <c r="AA20" i="2"/>
  <c r="AF20" i="2" s="1"/>
  <c r="X20" i="2"/>
  <c r="AC20" i="2" s="1"/>
  <c r="W20" i="2"/>
  <c r="V20" i="2"/>
  <c r="U20" i="2"/>
  <c r="Z20" i="2" s="1"/>
  <c r="T20" i="2"/>
  <c r="Y20" i="2" s="1"/>
  <c r="AD20" i="2" s="1"/>
  <c r="S20" i="2"/>
  <c r="R20" i="2"/>
  <c r="Q20" i="2"/>
  <c r="P20" i="2"/>
  <c r="O20" i="2"/>
  <c r="N20" i="2"/>
  <c r="M20" i="2"/>
  <c r="Z19" i="2"/>
  <c r="AE19" i="2" s="1"/>
  <c r="V19" i="2"/>
  <c r="AA19" i="2" s="1"/>
  <c r="AF19" i="2" s="1"/>
  <c r="U19" i="2"/>
  <c r="T19" i="2"/>
  <c r="Y19" i="2" s="1"/>
  <c r="AD19" i="2" s="1"/>
  <c r="S19" i="2"/>
  <c r="X19" i="2" s="1"/>
  <c r="R19" i="2"/>
  <c r="W19" i="2" s="1"/>
  <c r="AB19" i="2" s="1"/>
  <c r="Q19" i="2"/>
  <c r="P19" i="2"/>
  <c r="O19" i="2"/>
  <c r="N19" i="2"/>
  <c r="M19" i="2"/>
  <c r="AC18" i="2"/>
  <c r="AH18" i="2" s="1"/>
  <c r="Y18" i="2"/>
  <c r="AD18" i="2" s="1"/>
  <c r="AI18" i="2" s="1"/>
  <c r="W18" i="2"/>
  <c r="AB18" i="2" s="1"/>
  <c r="V18" i="2"/>
  <c r="AA18" i="2" s="1"/>
  <c r="AF18" i="2" s="1"/>
  <c r="U18" i="2"/>
  <c r="Z18" i="2" s="1"/>
  <c r="AE18" i="2" s="1"/>
  <c r="AJ18" i="2" s="1"/>
  <c r="T18" i="2"/>
  <c r="S18" i="2"/>
  <c r="X18" i="2" s="1"/>
  <c r="R18" i="2"/>
  <c r="Q18" i="2"/>
  <c r="P18" i="2"/>
  <c r="O18" i="2"/>
  <c r="N18" i="2"/>
  <c r="M18" i="2"/>
  <c r="AP17" i="2"/>
  <c r="AF17" i="2"/>
  <c r="AK17" i="2" s="1"/>
  <c r="X17" i="2"/>
  <c r="AC17" i="2" s="1"/>
  <c r="V17" i="2"/>
  <c r="AA17" i="2" s="1"/>
  <c r="U17" i="2"/>
  <c r="Z17" i="2" s="1"/>
  <c r="AE17" i="2" s="1"/>
  <c r="T17" i="2"/>
  <c r="Y17" i="2" s="1"/>
  <c r="AD17" i="2" s="1"/>
  <c r="S17" i="2"/>
  <c r="R17" i="2"/>
  <c r="W17" i="2" s="1"/>
  <c r="Q17" i="2"/>
  <c r="P17" i="2"/>
  <c r="O17" i="2"/>
  <c r="N17" i="2"/>
  <c r="M17" i="2"/>
  <c r="AM16" i="2"/>
  <c r="AF16" i="2"/>
  <c r="AB16" i="2"/>
  <c r="AA16" i="2"/>
  <c r="W16" i="2"/>
  <c r="V16" i="2"/>
  <c r="U16" i="2"/>
  <c r="Z16" i="2" s="1"/>
  <c r="AE16" i="2" s="1"/>
  <c r="T16" i="2"/>
  <c r="Y16" i="2" s="1"/>
  <c r="S16" i="2"/>
  <c r="X16" i="2" s="1"/>
  <c r="AC16" i="2" s="1"/>
  <c r="AH16" i="2" s="1"/>
  <c r="R16" i="2"/>
  <c r="Q16" i="2"/>
  <c r="P16" i="2"/>
  <c r="O16" i="2"/>
  <c r="N16" i="2"/>
  <c r="M16" i="2"/>
  <c r="AI15" i="2"/>
  <c r="Z15" i="2"/>
  <c r="AE15" i="2" s="1"/>
  <c r="X15" i="2"/>
  <c r="AC15" i="2" s="1"/>
  <c r="V15" i="2"/>
  <c r="AA15" i="2" s="1"/>
  <c r="AF15" i="2" s="1"/>
  <c r="AK15" i="2" s="1"/>
  <c r="U15" i="2"/>
  <c r="T15" i="2"/>
  <c r="Y15" i="2" s="1"/>
  <c r="AD15" i="2" s="1"/>
  <c r="S15" i="2"/>
  <c r="R15" i="2"/>
  <c r="W15" i="2" s="1"/>
  <c r="AB15" i="2" s="1"/>
  <c r="Q15" i="2"/>
  <c r="P15" i="2"/>
  <c r="O15" i="2"/>
  <c r="N15" i="2"/>
  <c r="M15" i="2"/>
  <c r="Y14" i="2"/>
  <c r="V14" i="2"/>
  <c r="AA14" i="2" s="1"/>
  <c r="AF14" i="2" s="1"/>
  <c r="U14" i="2"/>
  <c r="Z14" i="2" s="1"/>
  <c r="AE14" i="2" s="1"/>
  <c r="T14" i="2"/>
  <c r="S14" i="2"/>
  <c r="X14" i="2" s="1"/>
  <c r="R14" i="2"/>
  <c r="W14" i="2" s="1"/>
  <c r="AB14" i="2" s="1"/>
  <c r="Q14" i="2"/>
  <c r="P14" i="2"/>
  <c r="O14" i="2"/>
  <c r="N14" i="2"/>
  <c r="N27" i="2" s="1"/>
  <c r="M14" i="2"/>
  <c r="AC13" i="2"/>
  <c r="X13" i="2"/>
  <c r="V13" i="2"/>
  <c r="AA13" i="2" s="1"/>
  <c r="AF13" i="2" s="1"/>
  <c r="AK13" i="2" s="1"/>
  <c r="U13" i="2"/>
  <c r="Z13" i="2" s="1"/>
  <c r="T13" i="2"/>
  <c r="Y13" i="2" s="1"/>
  <c r="AD13" i="2" s="1"/>
  <c r="S13" i="2"/>
  <c r="R13" i="2"/>
  <c r="W13" i="2" s="1"/>
  <c r="AB13" i="2" s="1"/>
  <c r="Q13" i="2"/>
  <c r="P13" i="2"/>
  <c r="O13" i="2"/>
  <c r="N13" i="2"/>
  <c r="M13" i="2"/>
  <c r="AF12" i="2"/>
  <c r="AE12" i="2"/>
  <c r="AA12" i="2"/>
  <c r="W12" i="2"/>
  <c r="AB12" i="2" s="1"/>
  <c r="V12" i="2"/>
  <c r="U12" i="2"/>
  <c r="Z12" i="2" s="1"/>
  <c r="T12" i="2"/>
  <c r="Y12" i="2" s="1"/>
  <c r="S12" i="2"/>
  <c r="X12" i="2" s="1"/>
  <c r="AC12" i="2" s="1"/>
  <c r="AH12" i="2" s="1"/>
  <c r="R12" i="2"/>
  <c r="Q12" i="2"/>
  <c r="P12" i="2"/>
  <c r="O12" i="2"/>
  <c r="N12" i="2"/>
  <c r="M12" i="2"/>
  <c r="AP11" i="2"/>
  <c r="AA11" i="2"/>
  <c r="AF11" i="2" s="1"/>
  <c r="AK11" i="2" s="1"/>
  <c r="Z11" i="2"/>
  <c r="AE11" i="2" s="1"/>
  <c r="V11" i="2"/>
  <c r="U11" i="2"/>
  <c r="T11" i="2"/>
  <c r="Y11" i="2" s="1"/>
  <c r="AD11" i="2" s="1"/>
  <c r="S11" i="2"/>
  <c r="X11" i="2" s="1"/>
  <c r="R11" i="2"/>
  <c r="W11" i="2" s="1"/>
  <c r="AB11" i="2" s="1"/>
  <c r="Q11" i="2"/>
  <c r="P11" i="2"/>
  <c r="O11" i="2"/>
  <c r="N11" i="2"/>
  <c r="M11" i="2"/>
  <c r="AH10" i="2"/>
  <c r="AD10" i="2"/>
  <c r="AC10" i="2"/>
  <c r="Z10" i="2"/>
  <c r="AE10" i="2" s="1"/>
  <c r="Y10" i="2"/>
  <c r="V10" i="2"/>
  <c r="AA10" i="2" s="1"/>
  <c r="U10" i="2"/>
  <c r="T10" i="2"/>
  <c r="S10" i="2"/>
  <c r="X10" i="2" s="1"/>
  <c r="R10" i="2"/>
  <c r="W10" i="2" s="1"/>
  <c r="Q10" i="2"/>
  <c r="P10" i="2"/>
  <c r="O10" i="2"/>
  <c r="N10" i="2"/>
  <c r="M10" i="2"/>
  <c r="Z9" i="2"/>
  <c r="AE9" i="2" s="1"/>
  <c r="V9" i="2"/>
  <c r="AA9" i="2" s="1"/>
  <c r="U9" i="2"/>
  <c r="T9" i="2"/>
  <c r="Y9" i="2" s="1"/>
  <c r="AD9" i="2" s="1"/>
  <c r="S9" i="2"/>
  <c r="X9" i="2" s="1"/>
  <c r="AC9" i="2" s="1"/>
  <c r="R9" i="2"/>
  <c r="W9" i="2" s="1"/>
  <c r="AB9" i="2" s="1"/>
  <c r="Q9" i="2"/>
  <c r="AF9" i="2" s="1"/>
  <c r="P9" i="2"/>
  <c r="O9" i="2"/>
  <c r="N9" i="2"/>
  <c r="M9" i="2"/>
  <c r="AF8" i="2"/>
  <c r="X8" i="2"/>
  <c r="AC8" i="2" s="1"/>
  <c r="V8" i="2"/>
  <c r="AA8" i="2" s="1"/>
  <c r="U8" i="2"/>
  <c r="Z8" i="2" s="1"/>
  <c r="AE8" i="2" s="1"/>
  <c r="T8" i="2"/>
  <c r="Y8" i="2" s="1"/>
  <c r="AD8" i="2" s="1"/>
  <c r="AI8" i="2" s="1"/>
  <c r="S8" i="2"/>
  <c r="R8" i="2"/>
  <c r="W8" i="2" s="1"/>
  <c r="AB8" i="2" s="1"/>
  <c r="Q8" i="2"/>
  <c r="P8" i="2"/>
  <c r="O8" i="2"/>
  <c r="N8" i="2"/>
  <c r="M8" i="2"/>
  <c r="AI7" i="2"/>
  <c r="AA7" i="2"/>
  <c r="AF7" i="2" s="1"/>
  <c r="W7" i="2"/>
  <c r="AB7" i="2" s="1"/>
  <c r="V7" i="2"/>
  <c r="U7" i="2"/>
  <c r="Z7" i="2" s="1"/>
  <c r="AE7" i="2" s="1"/>
  <c r="T7" i="2"/>
  <c r="Y7" i="2" s="1"/>
  <c r="AD7" i="2" s="1"/>
  <c r="S7" i="2"/>
  <c r="X7" i="2" s="1"/>
  <c r="AC7" i="2" s="1"/>
  <c r="AH7" i="2" s="1"/>
  <c r="R7" i="2"/>
  <c r="Q7" i="2"/>
  <c r="P7" i="2"/>
  <c r="O7" i="2"/>
  <c r="N7" i="2"/>
  <c r="M7" i="2"/>
  <c r="AH6" i="2"/>
  <c r="AA6" i="2"/>
  <c r="AF6" i="2" s="1"/>
  <c r="AK6" i="2" s="1"/>
  <c r="Z6" i="2"/>
  <c r="AE6" i="2" s="1"/>
  <c r="W6" i="2"/>
  <c r="AB6" i="2" s="1"/>
  <c r="AG6" i="2" s="1"/>
  <c r="V6" i="2"/>
  <c r="U6" i="2"/>
  <c r="T6" i="2"/>
  <c r="Y6" i="2" s="1"/>
  <c r="AD6" i="2" s="1"/>
  <c r="S6" i="2"/>
  <c r="X6" i="2" s="1"/>
  <c r="AC6" i="2" s="1"/>
  <c r="R6" i="2"/>
  <c r="Q6" i="2"/>
  <c r="P6" i="2"/>
  <c r="O6" i="2"/>
  <c r="N6" i="2"/>
  <c r="M6" i="2"/>
  <c r="AH5" i="2"/>
  <c r="AC5" i="2"/>
  <c r="Z5" i="2"/>
  <c r="AE5" i="2" s="1"/>
  <c r="AJ5" i="2" s="1"/>
  <c r="Y5" i="2"/>
  <c r="AD5" i="2" s="1"/>
  <c r="V5" i="2"/>
  <c r="AA5" i="2" s="1"/>
  <c r="U5" i="2"/>
  <c r="T5" i="2"/>
  <c r="S5" i="2"/>
  <c r="X5" i="2" s="1"/>
  <c r="R5" i="2"/>
  <c r="Q5" i="2"/>
  <c r="P5" i="2"/>
  <c r="O5" i="2"/>
  <c r="N5" i="2"/>
  <c r="M5" i="2"/>
  <c r="X4" i="2"/>
  <c r="AC4" i="2" s="1"/>
  <c r="V4" i="2"/>
  <c r="U4" i="2"/>
  <c r="T4" i="2"/>
  <c r="Y4" i="2" s="1"/>
  <c r="S4" i="2"/>
  <c r="R4" i="2"/>
  <c r="Q4" i="2"/>
  <c r="P4" i="2"/>
  <c r="O4" i="2"/>
  <c r="N4" i="2"/>
  <c r="M4" i="2"/>
  <c r="AI5" i="2" l="1"/>
  <c r="AN5" i="2" s="1"/>
  <c r="Y28" i="2"/>
  <c r="Y26" i="2"/>
  <c r="Y25" i="2"/>
  <c r="AD4" i="2"/>
  <c r="Y27" i="2"/>
  <c r="AJ7" i="2"/>
  <c r="AO7" i="2" s="1"/>
  <c r="AK19" i="2"/>
  <c r="AP19" i="2"/>
  <c r="AG8" i="2"/>
  <c r="AL8" i="2" s="1"/>
  <c r="AM4" i="2"/>
  <c r="AH4" i="2"/>
  <c r="AN6" i="2"/>
  <c r="AI6" i="2"/>
  <c r="AJ6" i="2"/>
  <c r="AO6" i="2" s="1"/>
  <c r="AK9" i="2"/>
  <c r="AP9" i="2" s="1"/>
  <c r="AG21" i="2"/>
  <c r="AL21" i="2"/>
  <c r="P27" i="2"/>
  <c r="P25" i="2"/>
  <c r="P26" i="2"/>
  <c r="P28" i="2"/>
  <c r="AO8" i="2"/>
  <c r="AK8" i="2"/>
  <c r="AP8" i="2" s="1"/>
  <c r="AK14" i="2"/>
  <c r="AP14" i="2" s="1"/>
  <c r="AJ17" i="2"/>
  <c r="AO17" i="2" s="1"/>
  <c r="AG19" i="2"/>
  <c r="AL19" i="2"/>
  <c r="M28" i="2"/>
  <c r="M26" i="2"/>
  <c r="M27" i="2"/>
  <c r="M25" i="2"/>
  <c r="Q28" i="2"/>
  <c r="Q26" i="2"/>
  <c r="Q27" i="2"/>
  <c r="Q25" i="2"/>
  <c r="U28" i="2"/>
  <c r="U26" i="2"/>
  <c r="U27" i="2"/>
  <c r="U25" i="2"/>
  <c r="Z4" i="2"/>
  <c r="AM5" i="2"/>
  <c r="AJ8" i="2"/>
  <c r="AO9" i="2"/>
  <c r="AJ9" i="2"/>
  <c r="AI13" i="2"/>
  <c r="AN13" i="2"/>
  <c r="R25" i="2"/>
  <c r="R28" i="2"/>
  <c r="R27" i="2"/>
  <c r="W5" i="2"/>
  <c r="AB5" i="2" s="1"/>
  <c r="AF5" i="2"/>
  <c r="AL6" i="2"/>
  <c r="AG7" i="2"/>
  <c r="AL7" i="2" s="1"/>
  <c r="AM7" i="2"/>
  <c r="AH8" i="2"/>
  <c r="AM8" i="2" s="1"/>
  <c r="AN8" i="2"/>
  <c r="AI9" i="2"/>
  <c r="AN9" i="2"/>
  <c r="AG11" i="2"/>
  <c r="AL11" i="2"/>
  <c r="AC14" i="2"/>
  <c r="AH15" i="2"/>
  <c r="AM15" i="2" s="1"/>
  <c r="AM17" i="2"/>
  <c r="AH17" i="2"/>
  <c r="AH22" i="2"/>
  <c r="AM22" i="2" s="1"/>
  <c r="AN22" i="2"/>
  <c r="V28" i="2"/>
  <c r="T28" i="2"/>
  <c r="T26" i="2"/>
  <c r="T25" i="2"/>
  <c r="T27" i="2"/>
  <c r="AG9" i="2"/>
  <c r="AL9" i="2" s="1"/>
  <c r="AJ10" i="2"/>
  <c r="AO10" i="2" s="1"/>
  <c r="AI11" i="2"/>
  <c r="AN11" i="2" s="1"/>
  <c r="AL14" i="2"/>
  <c r="AG14" i="2"/>
  <c r="AN18" i="2"/>
  <c r="AK21" i="2"/>
  <c r="AP21" i="2"/>
  <c r="AK23" i="2"/>
  <c r="AP23" i="2"/>
  <c r="AH9" i="2"/>
  <c r="AM9" i="2" s="1"/>
  <c r="AG12" i="2"/>
  <c r="AL12" i="2" s="1"/>
  <c r="AM12" i="2"/>
  <c r="AM13" i="2"/>
  <c r="AH13" i="2"/>
  <c r="AJ16" i="2"/>
  <c r="AO16" i="2" s="1"/>
  <c r="AL16" i="2"/>
  <c r="AG16" i="2"/>
  <c r="AJ19" i="2"/>
  <c r="AO19" i="2" s="1"/>
  <c r="X28" i="2"/>
  <c r="X26" i="2"/>
  <c r="X27" i="2"/>
  <c r="X25" i="2"/>
  <c r="AO5" i="2"/>
  <c r="AM6" i="2"/>
  <c r="AP6" i="2"/>
  <c r="AN7" i="2"/>
  <c r="AP7" i="2"/>
  <c r="AK7" i="2"/>
  <c r="AJ11" i="2"/>
  <c r="AO11" i="2" s="1"/>
  <c r="AO12" i="2"/>
  <c r="AJ12" i="2"/>
  <c r="AG13" i="2"/>
  <c r="AL13" i="2" s="1"/>
  <c r="AP13" i="2"/>
  <c r="AN15" i="2"/>
  <c r="AJ15" i="2"/>
  <c r="AO15" i="2" s="1"/>
  <c r="AI17" i="2"/>
  <c r="AN17" i="2" s="1"/>
  <c r="AI20" i="2"/>
  <c r="AN20" i="2" s="1"/>
  <c r="AH20" i="2"/>
  <c r="AM20" i="2" s="1"/>
  <c r="AJ21" i="2"/>
  <c r="AO21" i="2" s="1"/>
  <c r="AJ22" i="2"/>
  <c r="AO22" i="2" s="1"/>
  <c r="N28" i="2"/>
  <c r="N26" i="2"/>
  <c r="V27" i="2"/>
  <c r="V25" i="2"/>
  <c r="AB10" i="2"/>
  <c r="AF10" i="2"/>
  <c r="AI10" i="2"/>
  <c r="AN10" i="2" s="1"/>
  <c r="AD14" i="2"/>
  <c r="AP18" i="2"/>
  <c r="AK18" i="2"/>
  <c r="AO18" i="2"/>
  <c r="AI19" i="2"/>
  <c r="AN19" i="2" s="1"/>
  <c r="AL20" i="2"/>
  <c r="AC21" i="2"/>
  <c r="AC23" i="2"/>
  <c r="R26" i="2"/>
  <c r="AM10" i="2"/>
  <c r="AD12" i="2"/>
  <c r="AK12" i="2"/>
  <c r="AP12" i="2" s="1"/>
  <c r="AM18" i="2"/>
  <c r="AC19" i="2"/>
  <c r="AE20" i="2"/>
  <c r="AP20" i="2"/>
  <c r="AK20" i="2"/>
  <c r="O27" i="2"/>
  <c r="O25" i="2"/>
  <c r="O28" i="2"/>
  <c r="O26" i="2"/>
  <c r="S27" i="2"/>
  <c r="S25" i="2"/>
  <c r="S28" i="2"/>
  <c r="S26" i="2"/>
  <c r="W4" i="2"/>
  <c r="AA4" i="2"/>
  <c r="AC11" i="2"/>
  <c r="AC28" i="2" s="1"/>
  <c r="AE13" i="2"/>
  <c r="AJ14" i="2"/>
  <c r="AO14" i="2"/>
  <c r="AG15" i="2"/>
  <c r="AL15" i="2" s="1"/>
  <c r="AQ15" i="2" s="1"/>
  <c r="AP15" i="2"/>
  <c r="AD16" i="2"/>
  <c r="AK16" i="2"/>
  <c r="AP16" i="2" s="1"/>
  <c r="AB17" i="2"/>
  <c r="AG18" i="2"/>
  <c r="AL18" i="2" s="1"/>
  <c r="AQ18" i="2" s="1"/>
  <c r="AI21" i="2"/>
  <c r="AN21" i="2" s="1"/>
  <c r="AB22" i="2"/>
  <c r="AF22" i="2"/>
  <c r="AD23" i="2"/>
  <c r="AJ23" i="2"/>
  <c r="AO23" i="2" s="1"/>
  <c r="N25" i="2"/>
  <c r="V26" i="2"/>
  <c r="AQ7" i="2" l="1"/>
  <c r="AQ8" i="2"/>
  <c r="AQ9" i="2"/>
  <c r="AH21" i="2"/>
  <c r="AM21" i="2" s="1"/>
  <c r="AQ21" i="2" s="1"/>
  <c r="AH26" i="2"/>
  <c r="AD28" i="2"/>
  <c r="AD26" i="2"/>
  <c r="AI4" i="2"/>
  <c r="AD25" i="2"/>
  <c r="AD27" i="2"/>
  <c r="AI23" i="2"/>
  <c r="AN23" i="2" s="1"/>
  <c r="AH11" i="2"/>
  <c r="AH27" i="2" s="1"/>
  <c r="AK10" i="2"/>
  <c r="AP10" i="2"/>
  <c r="AG5" i="2"/>
  <c r="AL5" i="2" s="1"/>
  <c r="AQ5" i="2" s="1"/>
  <c r="AK22" i="2"/>
  <c r="AP22" i="2" s="1"/>
  <c r="AI16" i="2"/>
  <c r="AN16" i="2" s="1"/>
  <c r="AQ16" i="2" s="1"/>
  <c r="AA27" i="2"/>
  <c r="AA25" i="2"/>
  <c r="AA26" i="2"/>
  <c r="AA28" i="2"/>
  <c r="AF4" i="2"/>
  <c r="AO20" i="2"/>
  <c r="AQ20" i="2" s="1"/>
  <c r="AJ20" i="2"/>
  <c r="AH23" i="2"/>
  <c r="AM23" i="2"/>
  <c r="AN14" i="2"/>
  <c r="AI14" i="2"/>
  <c r="AG10" i="2"/>
  <c r="AL10" i="2"/>
  <c r="AC25" i="2"/>
  <c r="AC26" i="2"/>
  <c r="AG22" i="2"/>
  <c r="AL22" i="2" s="1"/>
  <c r="W27" i="2"/>
  <c r="W25" i="2"/>
  <c r="W28" i="2"/>
  <c r="W26" i="2"/>
  <c r="AB4" i="2"/>
  <c r="AH19" i="2"/>
  <c r="AM19" i="2" s="1"/>
  <c r="AQ19" i="2" s="1"/>
  <c r="AI12" i="2"/>
  <c r="AN12" i="2" s="1"/>
  <c r="AQ12" i="2" s="1"/>
  <c r="AQ6" i="2"/>
  <c r="AG17" i="2"/>
  <c r="AL17" i="2" s="1"/>
  <c r="AQ17" i="2" s="1"/>
  <c r="AJ13" i="2"/>
  <c r="AO13" i="2" s="1"/>
  <c r="AQ13" i="2" s="1"/>
  <c r="AH14" i="2"/>
  <c r="AH28" i="2" s="1"/>
  <c r="AM14" i="2"/>
  <c r="AQ14" i="2" s="1"/>
  <c r="AK5" i="2"/>
  <c r="AP5" i="2"/>
  <c r="Z28" i="2"/>
  <c r="Z26" i="2"/>
  <c r="Z27" i="2"/>
  <c r="Z25" i="2"/>
  <c r="AE4" i="2"/>
  <c r="AC27" i="2"/>
  <c r="AQ22" i="2" l="1"/>
  <c r="AB27" i="2"/>
  <c r="AB25" i="2"/>
  <c r="AB28" i="2"/>
  <c r="AB26" i="2"/>
  <c r="AG4" i="2"/>
  <c r="AE27" i="2"/>
  <c r="AE25" i="2"/>
  <c r="AE28" i="2"/>
  <c r="AE26" i="2"/>
  <c r="AJ4" i="2"/>
  <c r="AQ10" i="2"/>
  <c r="AQ23" i="2"/>
  <c r="AF27" i="2"/>
  <c r="AF25" i="2"/>
  <c r="AF26" i="2"/>
  <c r="AP4" i="2"/>
  <c r="AF28" i="2"/>
  <c r="AK4" i="2"/>
  <c r="AI27" i="2"/>
  <c r="AI25" i="2"/>
  <c r="AI28" i="2"/>
  <c r="AI26" i="2"/>
  <c r="AN4" i="2"/>
  <c r="AH25" i="2"/>
  <c r="AM11" i="2"/>
  <c r="AJ28" i="2" l="1"/>
  <c r="AJ26" i="2"/>
  <c r="AJ25" i="2"/>
  <c r="AJ27" i="2"/>
  <c r="AG28" i="2"/>
  <c r="AG26" i="2"/>
  <c r="AG27" i="2"/>
  <c r="AG25" i="2"/>
  <c r="AN28" i="2"/>
  <c r="AN26" i="2"/>
  <c r="AN27" i="2"/>
  <c r="AN25" i="2"/>
  <c r="AL4" i="2"/>
  <c r="AM28" i="2"/>
  <c r="AM26" i="2"/>
  <c r="AQ11" i="2"/>
  <c r="AM27" i="2"/>
  <c r="AM25" i="2"/>
  <c r="AP28" i="2"/>
  <c r="AP26" i="2"/>
  <c r="AP27" i="2"/>
  <c r="AP25" i="2"/>
  <c r="AK28" i="2"/>
  <c r="AK26" i="2"/>
  <c r="AK27" i="2"/>
  <c r="AK25" i="2"/>
  <c r="AO4" i="2"/>
  <c r="AO28" i="2" l="1"/>
  <c r="AO26" i="2"/>
  <c r="AO25" i="2"/>
  <c r="AO27" i="2"/>
  <c r="AL27" i="2"/>
  <c r="AL25" i="2"/>
  <c r="AQ4" i="2"/>
  <c r="AL26" i="2"/>
  <c r="AL28" i="2"/>
  <c r="AQ27" i="2" l="1"/>
  <c r="AQ25" i="2"/>
  <c r="AQ28" i="2"/>
  <c r="AQ26" i="2"/>
</calcChain>
</file>

<file path=xl/sharedStrings.xml><?xml version="1.0" encoding="utf-8"?>
<sst xmlns="http://schemas.openxmlformats.org/spreadsheetml/2006/main" count="138" uniqueCount="77">
  <si>
    <t>Employee Payroll</t>
  </si>
  <si>
    <t>Hours worked</t>
  </si>
  <si>
    <t>Work status</t>
  </si>
  <si>
    <t>Bonus Multipler</t>
  </si>
  <si>
    <t>Pay</t>
  </si>
  <si>
    <t>Overtime hour</t>
  </si>
  <si>
    <t>Overtime pay</t>
  </si>
  <si>
    <t>Total pay</t>
  </si>
  <si>
    <t>VAT</t>
  </si>
  <si>
    <t>Take Home</t>
  </si>
  <si>
    <t>Monthly Pay</t>
  </si>
  <si>
    <t>Emp_ID</t>
  </si>
  <si>
    <t>First Name</t>
  </si>
  <si>
    <t>Last Name</t>
  </si>
  <si>
    <t>Department</t>
  </si>
  <si>
    <t>Hourly Wage</t>
  </si>
  <si>
    <t>week 1</t>
  </si>
  <si>
    <t>week 2</t>
  </si>
  <si>
    <t>week 3</t>
  </si>
  <si>
    <t>week 4</t>
  </si>
  <si>
    <t>week 5</t>
  </si>
  <si>
    <t>week1</t>
  </si>
  <si>
    <t>week2</t>
  </si>
  <si>
    <t>week3</t>
  </si>
  <si>
    <t>week4</t>
  </si>
  <si>
    <t>week5</t>
  </si>
  <si>
    <t>John</t>
  </si>
  <si>
    <t>Smith</t>
  </si>
  <si>
    <t>HR</t>
  </si>
  <si>
    <t>PART TIME</t>
  </si>
  <si>
    <t>Emily</t>
  </si>
  <si>
    <t>Johnson</t>
  </si>
  <si>
    <t>Sales</t>
  </si>
  <si>
    <t>CONTRACT</t>
  </si>
  <si>
    <t>Michael</t>
  </si>
  <si>
    <t>Brown</t>
  </si>
  <si>
    <t>IT</t>
  </si>
  <si>
    <t>Sarah</t>
  </si>
  <si>
    <t>Davis</t>
  </si>
  <si>
    <t>Finance</t>
  </si>
  <si>
    <t>David</t>
  </si>
  <si>
    <t>Wilson</t>
  </si>
  <si>
    <t>FULL TIME</t>
  </si>
  <si>
    <t>Jessica</t>
  </si>
  <si>
    <t>Martinez</t>
  </si>
  <si>
    <t>Robert</t>
  </si>
  <si>
    <t>Taylor</t>
  </si>
  <si>
    <t>Jennifer</t>
  </si>
  <si>
    <t>Anderson</t>
  </si>
  <si>
    <t>Thomas</t>
  </si>
  <si>
    <t>Lee</t>
  </si>
  <si>
    <t>Laura</t>
  </si>
  <si>
    <t>Garcia</t>
  </si>
  <si>
    <t>James</t>
  </si>
  <si>
    <t>Rodriguez</t>
  </si>
  <si>
    <t>Megan</t>
  </si>
  <si>
    <t>White</t>
  </si>
  <si>
    <t>Daniel</t>
  </si>
  <si>
    <t>Clark</t>
  </si>
  <si>
    <t>Olivia</t>
  </si>
  <si>
    <t>Lewis</t>
  </si>
  <si>
    <t>Andrew</t>
  </si>
  <si>
    <t>Walker</t>
  </si>
  <si>
    <t>Sophia</t>
  </si>
  <si>
    <t>Hall</t>
  </si>
  <si>
    <t>Christopher</t>
  </si>
  <si>
    <t>Allen</t>
  </si>
  <si>
    <t>Ava</t>
  </si>
  <si>
    <t>Young</t>
  </si>
  <si>
    <t>Ethan</t>
  </si>
  <si>
    <t>King</t>
  </si>
  <si>
    <t>Natalie</t>
  </si>
  <si>
    <t>Scott</t>
  </si>
  <si>
    <t>Min</t>
  </si>
  <si>
    <t>Max</t>
  </si>
  <si>
    <t>Average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</si>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</sst>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US$&quot;#,##0.00"/>
    <numFmt numFmtId="165" formatCode="_-[$$-409]* #,##0.00_ ;_-[$$-409]* \-#,##0.00\ ;_-[$$-409]* &quot;-&quot;??_ ;_-@_ "/>
    <numFmt numFmtId="166" formatCode="_(&quot;$&quot;* #,##0.00_);_(&quot;$&quot;* \(#,##0.00\);_(&quot;$&quot;* &quot;-&quot;??_);_(@_)"/>
    <numFmt numFmtId="167" formatCode="[$$-409]#,##0.00"/>
    <numFmt numFmtId="168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5" fontId="5" fillId="0" borderId="0" xfId="0" applyNumberFormat="1" applyFont="1"/>
    <xf numFmtId="0" fontId="5" fillId="0" borderId="0" xfId="0" applyFont="1"/>
    <xf numFmtId="0" fontId="5" fillId="2" borderId="0" xfId="0" applyFont="1" applyFill="1"/>
    <xf numFmtId="164" fontId="5" fillId="0" borderId="0" xfId="0" applyNumberFormat="1" applyFont="1"/>
    <xf numFmtId="165" fontId="5" fillId="3" borderId="1" xfId="0" applyNumberFormat="1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165" fontId="5" fillId="8" borderId="1" xfId="0" applyNumberFormat="1" applyFont="1" applyFill="1" applyBorder="1"/>
    <xf numFmtId="166" fontId="0" fillId="0" borderId="0" xfId="1" applyFont="1"/>
    <xf numFmtId="0" fontId="0" fillId="2" borderId="0" xfId="0" applyFill="1"/>
    <xf numFmtId="167" fontId="0" fillId="0" borderId="0" xfId="0" applyNumberFormat="1"/>
    <xf numFmtId="165" fontId="0" fillId="3" borderId="1" xfId="0" applyNumberFormat="1" applyFill="1" applyBorder="1"/>
    <xf numFmtId="0" fontId="0" fillId="4" borderId="1" xfId="0" applyFill="1" applyBorder="1"/>
    <xf numFmtId="43" fontId="0" fillId="5" borderId="1" xfId="0" applyNumberFormat="1" applyFill="1" applyBorder="1"/>
    <xf numFmtId="43" fontId="0" fillId="6" borderId="1" xfId="0" applyNumberFormat="1" applyFill="1" applyBorder="1"/>
    <xf numFmtId="165" fontId="0" fillId="7" borderId="1" xfId="0" applyNumberFormat="1" applyFill="1" applyBorder="1"/>
    <xf numFmtId="165" fontId="0" fillId="8" borderId="1" xfId="0" applyNumberFormat="1" applyFill="1" applyBorder="1"/>
    <xf numFmtId="165" fontId="0" fillId="0" borderId="1" xfId="0" applyNumberFormat="1" applyBorder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66" fontId="0" fillId="0" borderId="0" xfId="0" applyNumberFormat="1"/>
    <xf numFmtId="166" fontId="0" fillId="0" borderId="1" xfId="0" applyNumberFormat="1" applyBorder="1"/>
    <xf numFmtId="168" fontId="0" fillId="4" borderId="1" xfId="0" applyNumberFormat="1" applyFill="1" applyBorder="1"/>
    <xf numFmtId="166" fontId="0" fillId="5" borderId="1" xfId="0" applyNumberFormat="1" applyFill="1" applyBorder="1"/>
    <xf numFmtId="166" fontId="0" fillId="6" borderId="1" xfId="0" applyNumberFormat="1" applyFill="1" applyBorder="1"/>
    <xf numFmtId="166" fontId="0" fillId="7" borderId="1" xfId="0" applyNumberFormat="1" applyFill="1" applyBorder="1"/>
    <xf numFmtId="166" fontId="0" fillId="8" borderId="1" xfId="0" applyNumberFormat="1" applyFill="1" applyBorder="1"/>
  </cellXfs>
  <cellStyles count="2">
    <cellStyle name="Currency 2" xfId="1" xr:uid="{58C74033-3CCF-4A10-9A5E-42046600991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2D76-6C95-4D84-B3F8-6D4B42762EE7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1CB1-8F18-44D5-A189-0E979D8DCABB}">
  <dimension ref="A1:AQ40"/>
  <sheetViews>
    <sheetView tabSelected="1" topLeftCell="A12" zoomScale="85" zoomScaleNormal="85" workbookViewId="0">
      <selection activeCell="K39" sqref="K39"/>
    </sheetView>
  </sheetViews>
  <sheetFormatPr defaultRowHeight="14.25" x14ac:dyDescent="0.2"/>
  <cols>
    <col min="1" max="1" width="6.75" bestFit="1" customWidth="1"/>
    <col min="2" max="2" width="10" bestFit="1" customWidth="1"/>
    <col min="3" max="3" width="8.875" bestFit="1" customWidth="1"/>
    <col min="4" max="4" width="10.25" bestFit="1" customWidth="1"/>
    <col min="5" max="5" width="10.875" bestFit="1" customWidth="1"/>
    <col min="6" max="10" width="14.5" customWidth="1"/>
    <col min="11" max="11" width="13.75" customWidth="1"/>
    <col min="12" max="12" width="13.625" style="2" customWidth="1"/>
    <col min="13" max="13" width="10.125" style="3" bestFit="1" customWidth="1"/>
    <col min="14" max="17" width="10.125" bestFit="1" customWidth="1"/>
    <col min="18" max="22" width="15.625" customWidth="1"/>
    <col min="23" max="23" width="11.5" bestFit="1" customWidth="1"/>
    <col min="24" max="27" width="11.5" customWidth="1"/>
    <col min="28" max="32" width="10.125" bestFit="1" customWidth="1"/>
    <col min="33" max="37" width="9.25" bestFit="1" customWidth="1"/>
    <col min="38" max="42" width="10.125" bestFit="1" customWidth="1"/>
    <col min="43" max="43" width="12.125" style="3" bestFit="1" customWidth="1"/>
  </cols>
  <sheetData>
    <row r="1" spans="1:43" ht="31.5" x14ac:dyDescent="0.5">
      <c r="A1" s="1" t="s">
        <v>0</v>
      </c>
      <c r="B1" s="1"/>
      <c r="C1" s="1"/>
      <c r="D1" s="1"/>
      <c r="E1" s="1"/>
    </row>
    <row r="2" spans="1:43" ht="15" customHeight="1" x14ac:dyDescent="0.35">
      <c r="A2" s="4"/>
      <c r="F2" s="5" t="s">
        <v>1</v>
      </c>
      <c r="G2" s="5"/>
      <c r="H2" s="5"/>
      <c r="I2" s="5"/>
      <c r="J2" s="5"/>
      <c r="K2" s="5" t="s">
        <v>2</v>
      </c>
      <c r="L2" s="6" t="s">
        <v>3</v>
      </c>
      <c r="M2" s="7" t="s">
        <v>4</v>
      </c>
      <c r="N2" s="5"/>
      <c r="O2" s="5"/>
      <c r="P2" s="5"/>
      <c r="Q2" s="5"/>
      <c r="R2" s="5" t="s">
        <v>5</v>
      </c>
      <c r="S2" s="5"/>
      <c r="T2" s="5"/>
      <c r="U2" s="5"/>
      <c r="V2" s="5"/>
      <c r="W2" s="5" t="s">
        <v>6</v>
      </c>
      <c r="X2" s="5"/>
      <c r="Y2" s="5"/>
      <c r="Z2" s="5"/>
      <c r="AA2" s="5"/>
      <c r="AB2" s="5" t="s">
        <v>7</v>
      </c>
      <c r="AC2" s="5"/>
      <c r="AD2" s="5"/>
      <c r="AE2" s="5"/>
      <c r="AF2" s="5"/>
      <c r="AG2" s="5" t="s">
        <v>8</v>
      </c>
      <c r="AH2" s="5"/>
      <c r="AI2" s="5"/>
      <c r="AJ2" s="5"/>
      <c r="AK2" s="5"/>
      <c r="AL2" s="5" t="s">
        <v>9</v>
      </c>
      <c r="AQ2" s="8" t="s">
        <v>10</v>
      </c>
    </row>
    <row r="3" spans="1:43" s="9" customFormat="1" ht="15.75" x14ac:dyDescent="0.25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10" t="s">
        <v>16</v>
      </c>
      <c r="G3" s="10" t="s">
        <v>17</v>
      </c>
      <c r="H3" s="10" t="s">
        <v>18</v>
      </c>
      <c r="I3" s="10" t="s">
        <v>19</v>
      </c>
      <c r="J3" s="10" t="s">
        <v>20</v>
      </c>
      <c r="L3" s="11"/>
      <c r="M3" s="12" t="s">
        <v>16</v>
      </c>
      <c r="N3" s="13" t="s">
        <v>17</v>
      </c>
      <c r="O3" s="13" t="s">
        <v>18</v>
      </c>
      <c r="P3" s="13" t="s">
        <v>19</v>
      </c>
      <c r="Q3" s="13" t="s">
        <v>20</v>
      </c>
      <c r="R3" s="14" t="s">
        <v>16</v>
      </c>
      <c r="S3" s="14" t="s">
        <v>17</v>
      </c>
      <c r="T3" s="14" t="s">
        <v>18</v>
      </c>
      <c r="U3" s="14" t="s">
        <v>19</v>
      </c>
      <c r="V3" s="14" t="s">
        <v>20</v>
      </c>
      <c r="W3" s="15" t="s">
        <v>21</v>
      </c>
      <c r="X3" s="15" t="s">
        <v>22</v>
      </c>
      <c r="Y3" s="15" t="s">
        <v>23</v>
      </c>
      <c r="Z3" s="15" t="s">
        <v>24</v>
      </c>
      <c r="AA3" s="15" t="s">
        <v>25</v>
      </c>
      <c r="AB3" s="16" t="s">
        <v>16</v>
      </c>
      <c r="AC3" s="16" t="s">
        <v>17</v>
      </c>
      <c r="AD3" s="16" t="s">
        <v>18</v>
      </c>
      <c r="AE3" s="16" t="s">
        <v>19</v>
      </c>
      <c r="AF3" s="16" t="s">
        <v>20</v>
      </c>
      <c r="AG3" s="17" t="s">
        <v>21</v>
      </c>
      <c r="AH3" s="17" t="s">
        <v>22</v>
      </c>
      <c r="AI3" s="17" t="s">
        <v>23</v>
      </c>
      <c r="AJ3" s="17" t="s">
        <v>24</v>
      </c>
      <c r="AK3" s="17" t="s">
        <v>25</v>
      </c>
      <c r="AL3" s="18" t="s">
        <v>21</v>
      </c>
      <c r="AM3" s="18" t="s">
        <v>22</v>
      </c>
      <c r="AN3" s="18" t="s">
        <v>23</v>
      </c>
      <c r="AO3" s="18" t="s">
        <v>24</v>
      </c>
      <c r="AP3" s="18" t="s">
        <v>25</v>
      </c>
      <c r="AQ3" s="8"/>
    </row>
    <row r="4" spans="1:43" x14ac:dyDescent="0.2">
      <c r="A4">
        <v>101</v>
      </c>
      <c r="B4" t="s">
        <v>26</v>
      </c>
      <c r="C4" t="s">
        <v>27</v>
      </c>
      <c r="D4" t="s">
        <v>28</v>
      </c>
      <c r="E4" s="19">
        <v>22</v>
      </c>
      <c r="F4" s="20">
        <v>51</v>
      </c>
      <c r="G4" s="20">
        <v>41</v>
      </c>
      <c r="H4" s="20">
        <v>45</v>
      </c>
      <c r="I4" s="20">
        <v>49</v>
      </c>
      <c r="J4" s="20">
        <v>43</v>
      </c>
      <c r="K4" t="s">
        <v>29</v>
      </c>
      <c r="L4" s="21">
        <v>22</v>
      </c>
      <c r="M4" s="22">
        <f>$L4*F4</f>
        <v>1122</v>
      </c>
      <c r="N4" s="22">
        <f t="shared" ref="N4:Q19" si="0">$L4*G4</f>
        <v>902</v>
      </c>
      <c r="O4" s="22">
        <f t="shared" si="0"/>
        <v>990</v>
      </c>
      <c r="P4" s="22">
        <f t="shared" si="0"/>
        <v>1078</v>
      </c>
      <c r="Q4" s="22">
        <f t="shared" si="0"/>
        <v>946</v>
      </c>
      <c r="R4" s="23">
        <f>IF(F4-50&lt;0,0,F4-50)</f>
        <v>1</v>
      </c>
      <c r="S4" s="23">
        <f t="shared" ref="S4:V19" si="1">IF(G4-50&lt;0,0,G4-50)</f>
        <v>0</v>
      </c>
      <c r="T4" s="23">
        <f t="shared" si="1"/>
        <v>0</v>
      </c>
      <c r="U4" s="23">
        <f t="shared" si="1"/>
        <v>0</v>
      </c>
      <c r="V4" s="23">
        <f t="shared" si="1"/>
        <v>0</v>
      </c>
      <c r="W4" s="24">
        <f>20%*$E4*R4</f>
        <v>4.4000000000000004</v>
      </c>
      <c r="X4" s="24">
        <f t="shared" ref="X4:AA19" si="2">20%*$E4*S4</f>
        <v>0</v>
      </c>
      <c r="Y4" s="24">
        <f t="shared" si="2"/>
        <v>0</v>
      </c>
      <c r="Z4" s="24">
        <f t="shared" si="2"/>
        <v>0</v>
      </c>
      <c r="AA4" s="24">
        <f t="shared" si="2"/>
        <v>0</v>
      </c>
      <c r="AB4" s="25">
        <f>W4+M4</f>
        <v>1126.4000000000001</v>
      </c>
      <c r="AC4" s="25">
        <f t="shared" ref="AC4:AF19" si="3">X4+N4</f>
        <v>902</v>
      </c>
      <c r="AD4" s="25">
        <f t="shared" si="3"/>
        <v>990</v>
      </c>
      <c r="AE4" s="25">
        <f t="shared" si="3"/>
        <v>1078</v>
      </c>
      <c r="AF4" s="25">
        <f t="shared" si="3"/>
        <v>946</v>
      </c>
      <c r="AG4" s="26">
        <f>IF(AB4&lt;=500,5%*AB4,IF(AB4&lt;800,10%*AB4,15%*AB4))</f>
        <v>168.96</v>
      </c>
      <c r="AH4" s="26">
        <f t="shared" ref="AH4:AK19" si="4">IF(AC4&lt;=500,5%*AC4,IF(AC4&lt;800,10%*AC4,15%*AC4))</f>
        <v>135.29999999999998</v>
      </c>
      <c r="AI4" s="26">
        <f t="shared" si="4"/>
        <v>148.5</v>
      </c>
      <c r="AJ4" s="26">
        <f t="shared" si="4"/>
        <v>161.69999999999999</v>
      </c>
      <c r="AK4" s="26">
        <f t="shared" si="4"/>
        <v>141.9</v>
      </c>
      <c r="AL4" s="27">
        <f>AB4-AG4</f>
        <v>957.44</v>
      </c>
      <c r="AM4" s="27">
        <f t="shared" ref="AM4:AP19" si="5">AC4-AH4</f>
        <v>766.7</v>
      </c>
      <c r="AN4" s="27">
        <f t="shared" si="5"/>
        <v>841.5</v>
      </c>
      <c r="AO4" s="27">
        <f t="shared" si="5"/>
        <v>916.3</v>
      </c>
      <c r="AP4" s="27">
        <f t="shared" si="5"/>
        <v>804.1</v>
      </c>
      <c r="AQ4" s="3">
        <f>SUM(AL4:AP4)</f>
        <v>4286.0400000000009</v>
      </c>
    </row>
    <row r="5" spans="1:43" x14ac:dyDescent="0.2">
      <c r="A5">
        <v>102</v>
      </c>
      <c r="B5" t="s">
        <v>30</v>
      </c>
      <c r="C5" t="s">
        <v>31</v>
      </c>
      <c r="D5" t="s">
        <v>32</v>
      </c>
      <c r="E5" s="19">
        <v>7</v>
      </c>
      <c r="F5" s="20">
        <v>53</v>
      </c>
      <c r="G5" s="20">
        <v>49</v>
      </c>
      <c r="H5" s="20">
        <v>49</v>
      </c>
      <c r="I5" s="20">
        <v>37</v>
      </c>
      <c r="J5" s="20">
        <v>43</v>
      </c>
      <c r="K5" t="s">
        <v>33</v>
      </c>
      <c r="L5" s="21">
        <v>7</v>
      </c>
      <c r="M5" s="22">
        <f t="shared" ref="M5:Q23" si="6">$L5*F5</f>
        <v>371</v>
      </c>
      <c r="N5" s="22">
        <f t="shared" si="0"/>
        <v>343</v>
      </c>
      <c r="O5" s="22">
        <f t="shared" si="0"/>
        <v>343</v>
      </c>
      <c r="P5" s="22">
        <f t="shared" si="0"/>
        <v>259</v>
      </c>
      <c r="Q5" s="22">
        <f t="shared" si="0"/>
        <v>301</v>
      </c>
      <c r="R5" s="23">
        <f>IF(F5-50&lt;0,0,F5-50)</f>
        <v>3</v>
      </c>
      <c r="S5" s="23">
        <f t="shared" si="1"/>
        <v>0</v>
      </c>
      <c r="T5" s="23">
        <f t="shared" si="1"/>
        <v>0</v>
      </c>
      <c r="U5" s="23">
        <f t="shared" si="1"/>
        <v>0</v>
      </c>
      <c r="V5" s="23">
        <f t="shared" si="1"/>
        <v>0</v>
      </c>
      <c r="W5" s="24">
        <f t="shared" ref="W5:AA23" si="7">20%*$E5*R5</f>
        <v>4.2</v>
      </c>
      <c r="X5" s="24">
        <f t="shared" si="2"/>
        <v>0</v>
      </c>
      <c r="Y5" s="24">
        <f t="shared" si="2"/>
        <v>0</v>
      </c>
      <c r="Z5" s="24">
        <f t="shared" si="2"/>
        <v>0</v>
      </c>
      <c r="AA5" s="24">
        <f t="shared" si="2"/>
        <v>0</v>
      </c>
      <c r="AB5" s="25">
        <f>W5+M5</f>
        <v>375.2</v>
      </c>
      <c r="AC5" s="25">
        <f t="shared" si="3"/>
        <v>343</v>
      </c>
      <c r="AD5" s="25">
        <f t="shared" si="3"/>
        <v>343</v>
      </c>
      <c r="AE5" s="25">
        <f t="shared" si="3"/>
        <v>259</v>
      </c>
      <c r="AF5" s="25">
        <f t="shared" si="3"/>
        <v>301</v>
      </c>
      <c r="AG5" s="26">
        <f>IF(AB5&lt;=500,5%*AB5,IF(AB5&lt;800,10%*AB5,15%*AB5))</f>
        <v>18.760000000000002</v>
      </c>
      <c r="AH5" s="26">
        <f t="shared" si="4"/>
        <v>17.150000000000002</v>
      </c>
      <c r="AI5" s="26">
        <f t="shared" si="4"/>
        <v>17.150000000000002</v>
      </c>
      <c r="AJ5" s="26">
        <f t="shared" si="4"/>
        <v>12.950000000000001</v>
      </c>
      <c r="AK5" s="26">
        <f t="shared" si="4"/>
        <v>15.05</v>
      </c>
      <c r="AL5" s="27">
        <f>AB5-AG5</f>
        <v>356.44</v>
      </c>
      <c r="AM5" s="27">
        <f t="shared" si="5"/>
        <v>325.85000000000002</v>
      </c>
      <c r="AN5" s="27">
        <f t="shared" si="5"/>
        <v>325.85000000000002</v>
      </c>
      <c r="AO5" s="27">
        <f t="shared" si="5"/>
        <v>246.05</v>
      </c>
      <c r="AP5" s="27">
        <f t="shared" si="5"/>
        <v>285.95</v>
      </c>
      <c r="AQ5" s="3">
        <f t="shared" ref="AQ5:AQ23" si="8">SUM(AL5:AP5)</f>
        <v>1540.14</v>
      </c>
    </row>
    <row r="6" spans="1:43" x14ac:dyDescent="0.2">
      <c r="A6">
        <v>103</v>
      </c>
      <c r="B6" t="s">
        <v>34</v>
      </c>
      <c r="C6" t="s">
        <v>35</v>
      </c>
      <c r="D6" t="s">
        <v>36</v>
      </c>
      <c r="E6" s="19">
        <v>10</v>
      </c>
      <c r="F6" s="20">
        <v>35</v>
      </c>
      <c r="G6" s="20">
        <v>60</v>
      </c>
      <c r="H6" s="20">
        <v>37</v>
      </c>
      <c r="I6" s="20">
        <v>43</v>
      </c>
      <c r="J6" s="20">
        <v>47</v>
      </c>
      <c r="K6" t="s">
        <v>29</v>
      </c>
      <c r="L6" s="21">
        <v>10</v>
      </c>
      <c r="M6" s="22">
        <f t="shared" si="6"/>
        <v>350</v>
      </c>
      <c r="N6" s="22">
        <f t="shared" si="0"/>
        <v>600</v>
      </c>
      <c r="O6" s="22">
        <f t="shared" si="0"/>
        <v>370</v>
      </c>
      <c r="P6" s="22">
        <f t="shared" si="0"/>
        <v>430</v>
      </c>
      <c r="Q6" s="22">
        <f t="shared" si="0"/>
        <v>470</v>
      </c>
      <c r="R6" s="23">
        <f>IF(F6-50&lt;0,0,F6-50)</f>
        <v>0</v>
      </c>
      <c r="S6" s="23">
        <f t="shared" si="1"/>
        <v>10</v>
      </c>
      <c r="T6" s="23">
        <f t="shared" si="1"/>
        <v>0</v>
      </c>
      <c r="U6" s="23">
        <f t="shared" si="1"/>
        <v>0</v>
      </c>
      <c r="V6" s="23">
        <f t="shared" si="1"/>
        <v>0</v>
      </c>
      <c r="W6" s="24">
        <f t="shared" si="7"/>
        <v>0</v>
      </c>
      <c r="X6" s="24">
        <f t="shared" si="2"/>
        <v>20</v>
      </c>
      <c r="Y6" s="24">
        <f t="shared" si="2"/>
        <v>0</v>
      </c>
      <c r="Z6" s="24">
        <f t="shared" si="2"/>
        <v>0</v>
      </c>
      <c r="AA6" s="24">
        <f t="shared" si="2"/>
        <v>0</v>
      </c>
      <c r="AB6" s="25">
        <f>W6+M6</f>
        <v>350</v>
      </c>
      <c r="AC6" s="25">
        <f t="shared" si="3"/>
        <v>620</v>
      </c>
      <c r="AD6" s="25">
        <f t="shared" si="3"/>
        <v>370</v>
      </c>
      <c r="AE6" s="25">
        <f t="shared" si="3"/>
        <v>430</v>
      </c>
      <c r="AF6" s="25">
        <f t="shared" si="3"/>
        <v>470</v>
      </c>
      <c r="AG6" s="26">
        <f>IF(AB6&lt;=500,5%*AB6,IF(AB6&lt;800,10%*AB6,15%*AB6))</f>
        <v>17.5</v>
      </c>
      <c r="AH6" s="26">
        <f t="shared" si="4"/>
        <v>62</v>
      </c>
      <c r="AI6" s="26">
        <f t="shared" si="4"/>
        <v>18.5</v>
      </c>
      <c r="AJ6" s="26">
        <f t="shared" si="4"/>
        <v>21.5</v>
      </c>
      <c r="AK6" s="26">
        <f t="shared" si="4"/>
        <v>23.5</v>
      </c>
      <c r="AL6" s="27">
        <f>AB6-AG6</f>
        <v>332.5</v>
      </c>
      <c r="AM6" s="27">
        <f t="shared" si="5"/>
        <v>558</v>
      </c>
      <c r="AN6" s="27">
        <f t="shared" si="5"/>
        <v>351.5</v>
      </c>
      <c r="AO6" s="27">
        <f t="shared" si="5"/>
        <v>408.5</v>
      </c>
      <c r="AP6" s="27">
        <f t="shared" si="5"/>
        <v>446.5</v>
      </c>
      <c r="AQ6" s="3">
        <f t="shared" si="8"/>
        <v>2097</v>
      </c>
    </row>
    <row r="7" spans="1:43" x14ac:dyDescent="0.2">
      <c r="A7">
        <v>104</v>
      </c>
      <c r="B7" t="s">
        <v>37</v>
      </c>
      <c r="C7" t="s">
        <v>38</v>
      </c>
      <c r="D7" t="s">
        <v>39</v>
      </c>
      <c r="E7" s="19">
        <v>21</v>
      </c>
      <c r="F7" s="20">
        <v>46</v>
      </c>
      <c r="G7" s="20">
        <v>52</v>
      </c>
      <c r="H7" s="20">
        <v>60</v>
      </c>
      <c r="I7" s="20">
        <v>35</v>
      </c>
      <c r="J7" s="20">
        <v>40</v>
      </c>
      <c r="K7" t="s">
        <v>33</v>
      </c>
      <c r="L7" s="21">
        <v>21</v>
      </c>
      <c r="M7" s="22">
        <f t="shared" si="6"/>
        <v>966</v>
      </c>
      <c r="N7" s="22">
        <f t="shared" si="0"/>
        <v>1092</v>
      </c>
      <c r="O7" s="22">
        <f t="shared" si="0"/>
        <v>1260</v>
      </c>
      <c r="P7" s="22">
        <f t="shared" si="0"/>
        <v>735</v>
      </c>
      <c r="Q7" s="22">
        <f t="shared" si="0"/>
        <v>840</v>
      </c>
      <c r="R7" s="23">
        <f>IF(F7-50&lt;0,0,F7-50)</f>
        <v>0</v>
      </c>
      <c r="S7" s="23">
        <f t="shared" si="1"/>
        <v>2</v>
      </c>
      <c r="T7" s="23">
        <f t="shared" si="1"/>
        <v>10</v>
      </c>
      <c r="U7" s="23">
        <f t="shared" si="1"/>
        <v>0</v>
      </c>
      <c r="V7" s="23">
        <f t="shared" si="1"/>
        <v>0</v>
      </c>
      <c r="W7" s="24">
        <f t="shared" si="7"/>
        <v>0</v>
      </c>
      <c r="X7" s="24">
        <f t="shared" si="2"/>
        <v>8.4</v>
      </c>
      <c r="Y7" s="24">
        <f t="shared" si="2"/>
        <v>42</v>
      </c>
      <c r="Z7" s="24">
        <f t="shared" si="2"/>
        <v>0</v>
      </c>
      <c r="AA7" s="24">
        <f t="shared" si="2"/>
        <v>0</v>
      </c>
      <c r="AB7" s="25">
        <f>W7+M7</f>
        <v>966</v>
      </c>
      <c r="AC7" s="25">
        <f t="shared" si="3"/>
        <v>1100.4000000000001</v>
      </c>
      <c r="AD7" s="25">
        <f t="shared" si="3"/>
        <v>1302</v>
      </c>
      <c r="AE7" s="25">
        <f t="shared" si="3"/>
        <v>735</v>
      </c>
      <c r="AF7" s="25">
        <f t="shared" si="3"/>
        <v>840</v>
      </c>
      <c r="AG7" s="26">
        <f>IF(AB7&lt;=500,5%*AB7,IF(AB7&lt;800,10%*AB7,15%*AB7))</f>
        <v>144.9</v>
      </c>
      <c r="AH7" s="26">
        <f t="shared" si="4"/>
        <v>165.06</v>
      </c>
      <c r="AI7" s="26">
        <f t="shared" si="4"/>
        <v>195.29999999999998</v>
      </c>
      <c r="AJ7" s="26">
        <f t="shared" si="4"/>
        <v>73.5</v>
      </c>
      <c r="AK7" s="26">
        <f t="shared" si="4"/>
        <v>126</v>
      </c>
      <c r="AL7" s="27">
        <f>AB7-AG7</f>
        <v>821.1</v>
      </c>
      <c r="AM7" s="27">
        <f t="shared" si="5"/>
        <v>935.34000000000015</v>
      </c>
      <c r="AN7" s="27">
        <f t="shared" si="5"/>
        <v>1106.7</v>
      </c>
      <c r="AO7" s="27">
        <f t="shared" si="5"/>
        <v>661.5</v>
      </c>
      <c r="AP7" s="27">
        <f t="shared" si="5"/>
        <v>714</v>
      </c>
      <c r="AQ7" s="3">
        <f t="shared" si="8"/>
        <v>4238.6400000000003</v>
      </c>
    </row>
    <row r="8" spans="1:43" x14ac:dyDescent="0.2">
      <c r="A8">
        <v>105</v>
      </c>
      <c r="B8" t="s">
        <v>40</v>
      </c>
      <c r="C8" t="s">
        <v>41</v>
      </c>
      <c r="D8" t="s">
        <v>36</v>
      </c>
      <c r="E8" s="19">
        <v>17</v>
      </c>
      <c r="F8" s="20">
        <v>60</v>
      </c>
      <c r="G8" s="20">
        <v>41</v>
      </c>
      <c r="H8" s="20">
        <v>36</v>
      </c>
      <c r="I8" s="20">
        <v>52</v>
      </c>
      <c r="J8" s="20">
        <v>51</v>
      </c>
      <c r="K8" t="s">
        <v>42</v>
      </c>
      <c r="L8" s="21">
        <v>17</v>
      </c>
      <c r="M8" s="22">
        <f t="shared" si="6"/>
        <v>1020</v>
      </c>
      <c r="N8" s="22">
        <f t="shared" si="0"/>
        <v>697</v>
      </c>
      <c r="O8" s="22">
        <f t="shared" si="0"/>
        <v>612</v>
      </c>
      <c r="P8" s="22">
        <f t="shared" si="0"/>
        <v>884</v>
      </c>
      <c r="Q8" s="22">
        <f t="shared" si="0"/>
        <v>867</v>
      </c>
      <c r="R8" s="23">
        <f>IF(F8-50&lt;0,0,F8-50)</f>
        <v>10</v>
      </c>
      <c r="S8" s="23">
        <f t="shared" si="1"/>
        <v>0</v>
      </c>
      <c r="T8" s="23">
        <f t="shared" si="1"/>
        <v>0</v>
      </c>
      <c r="U8" s="23">
        <f t="shared" si="1"/>
        <v>2</v>
      </c>
      <c r="V8" s="23">
        <f t="shared" si="1"/>
        <v>1</v>
      </c>
      <c r="W8" s="24">
        <f t="shared" si="7"/>
        <v>34</v>
      </c>
      <c r="X8" s="24">
        <f t="shared" si="2"/>
        <v>0</v>
      </c>
      <c r="Y8" s="24">
        <f t="shared" si="2"/>
        <v>0</v>
      </c>
      <c r="Z8" s="24">
        <f t="shared" si="2"/>
        <v>6.8000000000000007</v>
      </c>
      <c r="AA8" s="24">
        <f t="shared" si="2"/>
        <v>3.4000000000000004</v>
      </c>
      <c r="AB8" s="25">
        <f>W8+M8</f>
        <v>1054</v>
      </c>
      <c r="AC8" s="25">
        <f t="shared" si="3"/>
        <v>697</v>
      </c>
      <c r="AD8" s="25">
        <f t="shared" si="3"/>
        <v>612</v>
      </c>
      <c r="AE8" s="25">
        <f t="shared" si="3"/>
        <v>890.8</v>
      </c>
      <c r="AF8" s="25">
        <f t="shared" si="3"/>
        <v>870.4</v>
      </c>
      <c r="AG8" s="26">
        <f>IF(AB8&lt;=500,5%*AB8,IF(AB8&lt;800,10%*AB8,15%*AB8))</f>
        <v>158.1</v>
      </c>
      <c r="AH8" s="26">
        <f t="shared" si="4"/>
        <v>69.7</v>
      </c>
      <c r="AI8" s="26">
        <f t="shared" si="4"/>
        <v>61.2</v>
      </c>
      <c r="AJ8" s="26">
        <f t="shared" si="4"/>
        <v>133.61999999999998</v>
      </c>
      <c r="AK8" s="26">
        <f t="shared" si="4"/>
        <v>130.56</v>
      </c>
      <c r="AL8" s="27">
        <f>AB8-AG8</f>
        <v>895.9</v>
      </c>
      <c r="AM8" s="27">
        <f t="shared" si="5"/>
        <v>627.29999999999995</v>
      </c>
      <c r="AN8" s="27">
        <f t="shared" si="5"/>
        <v>550.79999999999995</v>
      </c>
      <c r="AO8" s="27">
        <f t="shared" si="5"/>
        <v>757.18</v>
      </c>
      <c r="AP8" s="27">
        <f t="shared" si="5"/>
        <v>739.83999999999992</v>
      </c>
      <c r="AQ8" s="3">
        <f t="shared" si="8"/>
        <v>3571.0199999999995</v>
      </c>
    </row>
    <row r="9" spans="1:43" x14ac:dyDescent="0.2">
      <c r="A9">
        <v>106</v>
      </c>
      <c r="B9" t="s">
        <v>43</v>
      </c>
      <c r="C9" t="s">
        <v>44</v>
      </c>
      <c r="D9" t="s">
        <v>28</v>
      </c>
      <c r="E9" s="19">
        <v>8</v>
      </c>
      <c r="F9" s="20">
        <v>60</v>
      </c>
      <c r="G9" s="20">
        <v>37</v>
      </c>
      <c r="H9" s="20">
        <v>51</v>
      </c>
      <c r="I9" s="20">
        <v>39</v>
      </c>
      <c r="J9" s="20">
        <v>44</v>
      </c>
      <c r="K9" t="s">
        <v>42</v>
      </c>
      <c r="L9" s="21">
        <v>8</v>
      </c>
      <c r="M9" s="22">
        <f t="shared" si="6"/>
        <v>480</v>
      </c>
      <c r="N9" s="22">
        <f t="shared" si="0"/>
        <v>296</v>
      </c>
      <c r="O9" s="22">
        <f t="shared" si="0"/>
        <v>408</v>
      </c>
      <c r="P9" s="22">
        <f t="shared" si="0"/>
        <v>312</v>
      </c>
      <c r="Q9" s="22">
        <f t="shared" si="0"/>
        <v>352</v>
      </c>
      <c r="R9" s="23">
        <f>IF(F9-50&lt;0,0,F9-50)</f>
        <v>10</v>
      </c>
      <c r="S9" s="23">
        <f t="shared" si="1"/>
        <v>0</v>
      </c>
      <c r="T9" s="23">
        <f t="shared" si="1"/>
        <v>1</v>
      </c>
      <c r="U9" s="23">
        <f t="shared" si="1"/>
        <v>0</v>
      </c>
      <c r="V9" s="23">
        <f t="shared" si="1"/>
        <v>0</v>
      </c>
      <c r="W9" s="24">
        <f t="shared" si="7"/>
        <v>16</v>
      </c>
      <c r="X9" s="24">
        <f t="shared" si="2"/>
        <v>0</v>
      </c>
      <c r="Y9" s="24">
        <f t="shared" si="2"/>
        <v>1.6</v>
      </c>
      <c r="Z9" s="24">
        <f t="shared" si="2"/>
        <v>0</v>
      </c>
      <c r="AA9" s="24">
        <f t="shared" si="2"/>
        <v>0</v>
      </c>
      <c r="AB9" s="25">
        <f>W9+M9</f>
        <v>496</v>
      </c>
      <c r="AC9" s="25">
        <f t="shared" si="3"/>
        <v>296</v>
      </c>
      <c r="AD9" s="25">
        <f t="shared" si="3"/>
        <v>409.6</v>
      </c>
      <c r="AE9" s="25">
        <f t="shared" si="3"/>
        <v>312</v>
      </c>
      <c r="AF9" s="25">
        <f t="shared" si="3"/>
        <v>352</v>
      </c>
      <c r="AG9" s="26">
        <f>IF(AB9&lt;=500,5%*AB9,IF(AB9&lt;800,10%*AB9,15%*AB9))</f>
        <v>24.8</v>
      </c>
      <c r="AH9" s="26">
        <f t="shared" si="4"/>
        <v>14.8</v>
      </c>
      <c r="AI9" s="26">
        <f t="shared" si="4"/>
        <v>20.480000000000004</v>
      </c>
      <c r="AJ9" s="26">
        <f t="shared" si="4"/>
        <v>15.600000000000001</v>
      </c>
      <c r="AK9" s="26">
        <f t="shared" si="4"/>
        <v>17.600000000000001</v>
      </c>
      <c r="AL9" s="27">
        <f>AB9-AG9</f>
        <v>471.2</v>
      </c>
      <c r="AM9" s="27">
        <f t="shared" si="5"/>
        <v>281.2</v>
      </c>
      <c r="AN9" s="27">
        <f t="shared" si="5"/>
        <v>389.12</v>
      </c>
      <c r="AO9" s="27">
        <f t="shared" si="5"/>
        <v>296.39999999999998</v>
      </c>
      <c r="AP9" s="27">
        <f t="shared" si="5"/>
        <v>334.4</v>
      </c>
      <c r="AQ9" s="3">
        <f t="shared" si="8"/>
        <v>1772.3200000000002</v>
      </c>
    </row>
    <row r="10" spans="1:43" x14ac:dyDescent="0.2">
      <c r="A10">
        <v>107</v>
      </c>
      <c r="B10" t="s">
        <v>45</v>
      </c>
      <c r="C10" t="s">
        <v>46</v>
      </c>
      <c r="D10" t="s">
        <v>32</v>
      </c>
      <c r="E10" s="19">
        <v>7</v>
      </c>
      <c r="F10" s="20">
        <v>43</v>
      </c>
      <c r="G10" s="20">
        <v>51</v>
      </c>
      <c r="H10" s="20">
        <v>40</v>
      </c>
      <c r="I10" s="20">
        <v>39</v>
      </c>
      <c r="J10" s="20">
        <v>55</v>
      </c>
      <c r="K10" t="s">
        <v>29</v>
      </c>
      <c r="L10" s="21">
        <v>7</v>
      </c>
      <c r="M10" s="22">
        <f t="shared" si="6"/>
        <v>301</v>
      </c>
      <c r="N10" s="22">
        <f t="shared" si="0"/>
        <v>357</v>
      </c>
      <c r="O10" s="22">
        <f t="shared" si="0"/>
        <v>280</v>
      </c>
      <c r="P10" s="22">
        <f t="shared" si="0"/>
        <v>273</v>
      </c>
      <c r="Q10" s="22">
        <f t="shared" si="0"/>
        <v>385</v>
      </c>
      <c r="R10" s="23">
        <f>IF(F10-50&lt;0,0,F10-50)</f>
        <v>0</v>
      </c>
      <c r="S10" s="23">
        <f t="shared" si="1"/>
        <v>1</v>
      </c>
      <c r="T10" s="23">
        <f t="shared" si="1"/>
        <v>0</v>
      </c>
      <c r="U10" s="23">
        <f t="shared" si="1"/>
        <v>0</v>
      </c>
      <c r="V10" s="23">
        <f t="shared" si="1"/>
        <v>5</v>
      </c>
      <c r="W10" s="24">
        <f t="shared" si="7"/>
        <v>0</v>
      </c>
      <c r="X10" s="24">
        <f t="shared" si="2"/>
        <v>1.4000000000000001</v>
      </c>
      <c r="Y10" s="24">
        <f t="shared" si="2"/>
        <v>0</v>
      </c>
      <c r="Z10" s="24">
        <f t="shared" si="2"/>
        <v>0</v>
      </c>
      <c r="AA10" s="24">
        <f t="shared" si="2"/>
        <v>7.0000000000000009</v>
      </c>
      <c r="AB10" s="25">
        <f>W10+M10</f>
        <v>301</v>
      </c>
      <c r="AC10" s="25">
        <f t="shared" si="3"/>
        <v>358.4</v>
      </c>
      <c r="AD10" s="25">
        <f t="shared" si="3"/>
        <v>280</v>
      </c>
      <c r="AE10" s="25">
        <f t="shared" si="3"/>
        <v>273</v>
      </c>
      <c r="AF10" s="25">
        <f t="shared" si="3"/>
        <v>392</v>
      </c>
      <c r="AG10" s="26">
        <f>IF(AB10&lt;=500,5%*AB10,IF(AB10&lt;800,10%*AB10,15%*AB10))</f>
        <v>15.05</v>
      </c>
      <c r="AH10" s="26">
        <f t="shared" si="4"/>
        <v>17.919999999999998</v>
      </c>
      <c r="AI10" s="26">
        <f t="shared" si="4"/>
        <v>14</v>
      </c>
      <c r="AJ10" s="26">
        <f t="shared" si="4"/>
        <v>13.65</v>
      </c>
      <c r="AK10" s="26">
        <f t="shared" si="4"/>
        <v>19.600000000000001</v>
      </c>
      <c r="AL10" s="27">
        <f>AB10-AG10</f>
        <v>285.95</v>
      </c>
      <c r="AM10" s="27">
        <f t="shared" si="5"/>
        <v>340.47999999999996</v>
      </c>
      <c r="AN10" s="27">
        <f t="shared" si="5"/>
        <v>266</v>
      </c>
      <c r="AO10" s="27">
        <f t="shared" si="5"/>
        <v>259.35000000000002</v>
      </c>
      <c r="AP10" s="27">
        <f t="shared" si="5"/>
        <v>372.4</v>
      </c>
      <c r="AQ10" s="3">
        <f t="shared" si="8"/>
        <v>1524.1799999999998</v>
      </c>
    </row>
    <row r="11" spans="1:43" x14ac:dyDescent="0.2">
      <c r="A11">
        <v>108</v>
      </c>
      <c r="B11" t="s">
        <v>47</v>
      </c>
      <c r="C11" t="s">
        <v>48</v>
      </c>
      <c r="D11" t="s">
        <v>39</v>
      </c>
      <c r="E11" s="19">
        <v>19</v>
      </c>
      <c r="F11" s="20">
        <v>51</v>
      </c>
      <c r="G11" s="20">
        <v>38</v>
      </c>
      <c r="H11" s="20">
        <v>44</v>
      </c>
      <c r="I11" s="20">
        <v>47</v>
      </c>
      <c r="J11" s="20">
        <v>51</v>
      </c>
      <c r="K11" t="s">
        <v>42</v>
      </c>
      <c r="L11" s="21">
        <v>19</v>
      </c>
      <c r="M11" s="22">
        <f t="shared" si="6"/>
        <v>969</v>
      </c>
      <c r="N11" s="22">
        <f t="shared" si="0"/>
        <v>722</v>
      </c>
      <c r="O11" s="22">
        <f t="shared" si="0"/>
        <v>836</v>
      </c>
      <c r="P11" s="22">
        <f t="shared" si="0"/>
        <v>893</v>
      </c>
      <c r="Q11" s="22">
        <f t="shared" si="0"/>
        <v>969</v>
      </c>
      <c r="R11" s="23">
        <f>IF(F11-50&lt;0,0,F11-50)</f>
        <v>1</v>
      </c>
      <c r="S11" s="23">
        <f t="shared" si="1"/>
        <v>0</v>
      </c>
      <c r="T11" s="23">
        <f t="shared" si="1"/>
        <v>0</v>
      </c>
      <c r="U11" s="23">
        <f t="shared" si="1"/>
        <v>0</v>
      </c>
      <c r="V11" s="23">
        <f t="shared" si="1"/>
        <v>1</v>
      </c>
      <c r="W11" s="24">
        <f t="shared" si="7"/>
        <v>3.8000000000000003</v>
      </c>
      <c r="X11" s="24">
        <f t="shared" si="2"/>
        <v>0</v>
      </c>
      <c r="Y11" s="24">
        <f t="shared" si="2"/>
        <v>0</v>
      </c>
      <c r="Z11" s="24">
        <f t="shared" si="2"/>
        <v>0</v>
      </c>
      <c r="AA11" s="24">
        <f t="shared" si="2"/>
        <v>3.8000000000000003</v>
      </c>
      <c r="AB11" s="25">
        <f>W11+M11</f>
        <v>972.8</v>
      </c>
      <c r="AC11" s="25">
        <f t="shared" si="3"/>
        <v>722</v>
      </c>
      <c r="AD11" s="25">
        <f t="shared" si="3"/>
        <v>836</v>
      </c>
      <c r="AE11" s="25">
        <f t="shared" si="3"/>
        <v>893</v>
      </c>
      <c r="AF11" s="25">
        <f t="shared" si="3"/>
        <v>972.8</v>
      </c>
      <c r="AG11" s="26">
        <f>IF(AB11&lt;=500,5%*AB11,IF(AB11&lt;800,10%*AB11,15%*AB11))</f>
        <v>145.91999999999999</v>
      </c>
      <c r="AH11" s="26">
        <f t="shared" si="4"/>
        <v>72.2</v>
      </c>
      <c r="AI11" s="26">
        <f t="shared" si="4"/>
        <v>125.39999999999999</v>
      </c>
      <c r="AJ11" s="26">
        <f t="shared" si="4"/>
        <v>133.94999999999999</v>
      </c>
      <c r="AK11" s="26">
        <f t="shared" si="4"/>
        <v>145.91999999999999</v>
      </c>
      <c r="AL11" s="27">
        <f>AB11-AG11</f>
        <v>826.88</v>
      </c>
      <c r="AM11" s="27">
        <f t="shared" si="5"/>
        <v>649.79999999999995</v>
      </c>
      <c r="AN11" s="27">
        <f t="shared" si="5"/>
        <v>710.6</v>
      </c>
      <c r="AO11" s="27">
        <f t="shared" si="5"/>
        <v>759.05</v>
      </c>
      <c r="AP11" s="27">
        <f t="shared" si="5"/>
        <v>826.88</v>
      </c>
      <c r="AQ11" s="3">
        <f t="shared" si="8"/>
        <v>3773.21</v>
      </c>
    </row>
    <row r="12" spans="1:43" x14ac:dyDescent="0.2">
      <c r="A12">
        <v>109</v>
      </c>
      <c r="B12" t="s">
        <v>49</v>
      </c>
      <c r="C12" t="s">
        <v>50</v>
      </c>
      <c r="D12" t="s">
        <v>36</v>
      </c>
      <c r="E12" s="19">
        <v>8</v>
      </c>
      <c r="F12" s="20">
        <v>55</v>
      </c>
      <c r="G12" s="20">
        <v>40</v>
      </c>
      <c r="H12" s="20">
        <v>49</v>
      </c>
      <c r="I12" s="20">
        <v>52</v>
      </c>
      <c r="J12" s="20">
        <v>54</v>
      </c>
      <c r="K12" t="s">
        <v>42</v>
      </c>
      <c r="L12" s="21">
        <v>8</v>
      </c>
      <c r="M12" s="22">
        <f t="shared" si="6"/>
        <v>440</v>
      </c>
      <c r="N12" s="22">
        <f t="shared" si="0"/>
        <v>320</v>
      </c>
      <c r="O12" s="22">
        <f t="shared" si="0"/>
        <v>392</v>
      </c>
      <c r="P12" s="22">
        <f t="shared" si="0"/>
        <v>416</v>
      </c>
      <c r="Q12" s="22">
        <f t="shared" si="0"/>
        <v>432</v>
      </c>
      <c r="R12" s="23">
        <f>IF(F12-50&lt;0,0,F12-50)</f>
        <v>5</v>
      </c>
      <c r="S12" s="23">
        <f t="shared" si="1"/>
        <v>0</v>
      </c>
      <c r="T12" s="23">
        <f t="shared" si="1"/>
        <v>0</v>
      </c>
      <c r="U12" s="23">
        <f t="shared" si="1"/>
        <v>2</v>
      </c>
      <c r="V12" s="23">
        <f t="shared" si="1"/>
        <v>4</v>
      </c>
      <c r="W12" s="24">
        <f t="shared" si="7"/>
        <v>8</v>
      </c>
      <c r="X12" s="24">
        <f t="shared" si="2"/>
        <v>0</v>
      </c>
      <c r="Y12" s="24">
        <f t="shared" si="2"/>
        <v>0</v>
      </c>
      <c r="Z12" s="24">
        <f t="shared" si="2"/>
        <v>3.2</v>
      </c>
      <c r="AA12" s="24">
        <f t="shared" si="2"/>
        <v>6.4</v>
      </c>
      <c r="AB12" s="25">
        <f>W12+M12</f>
        <v>448</v>
      </c>
      <c r="AC12" s="25">
        <f t="shared" si="3"/>
        <v>320</v>
      </c>
      <c r="AD12" s="25">
        <f t="shared" si="3"/>
        <v>392</v>
      </c>
      <c r="AE12" s="25">
        <f t="shared" si="3"/>
        <v>419.2</v>
      </c>
      <c r="AF12" s="25">
        <f t="shared" si="3"/>
        <v>438.4</v>
      </c>
      <c r="AG12" s="26">
        <f>IF(AB12&lt;=500,5%*AB12,IF(AB12&lt;800,10%*AB12,15%*AB12))</f>
        <v>22.400000000000002</v>
      </c>
      <c r="AH12" s="26">
        <f t="shared" si="4"/>
        <v>16</v>
      </c>
      <c r="AI12" s="26">
        <f t="shared" si="4"/>
        <v>19.600000000000001</v>
      </c>
      <c r="AJ12" s="26">
        <f t="shared" si="4"/>
        <v>20.96</v>
      </c>
      <c r="AK12" s="26">
        <f t="shared" si="4"/>
        <v>21.92</v>
      </c>
      <c r="AL12" s="27">
        <f>AB12-AG12</f>
        <v>425.6</v>
      </c>
      <c r="AM12" s="27">
        <f t="shared" si="5"/>
        <v>304</v>
      </c>
      <c r="AN12" s="27">
        <f t="shared" si="5"/>
        <v>372.4</v>
      </c>
      <c r="AO12" s="27">
        <f t="shared" si="5"/>
        <v>398.24</v>
      </c>
      <c r="AP12" s="27">
        <f t="shared" si="5"/>
        <v>416.47999999999996</v>
      </c>
      <c r="AQ12" s="3">
        <f t="shared" si="8"/>
        <v>1916.72</v>
      </c>
    </row>
    <row r="13" spans="1:43" x14ac:dyDescent="0.2">
      <c r="A13">
        <v>110</v>
      </c>
      <c r="B13" t="s">
        <v>51</v>
      </c>
      <c r="C13" t="s">
        <v>52</v>
      </c>
      <c r="D13" t="s">
        <v>28</v>
      </c>
      <c r="E13" s="19">
        <v>5</v>
      </c>
      <c r="F13" s="20">
        <v>38</v>
      </c>
      <c r="G13" s="20">
        <v>35</v>
      </c>
      <c r="H13" s="20">
        <v>46</v>
      </c>
      <c r="I13" s="20">
        <v>50</v>
      </c>
      <c r="J13" s="20">
        <v>56</v>
      </c>
      <c r="K13" t="s">
        <v>29</v>
      </c>
      <c r="L13" s="21">
        <v>5</v>
      </c>
      <c r="M13" s="22">
        <f t="shared" si="6"/>
        <v>190</v>
      </c>
      <c r="N13" s="22">
        <f t="shared" si="0"/>
        <v>175</v>
      </c>
      <c r="O13" s="22">
        <f t="shared" si="0"/>
        <v>230</v>
      </c>
      <c r="P13" s="22">
        <f t="shared" si="0"/>
        <v>250</v>
      </c>
      <c r="Q13" s="22">
        <f t="shared" si="0"/>
        <v>280</v>
      </c>
      <c r="R13" s="23">
        <f>IF(F13-50&lt;0,0,F13-50)</f>
        <v>0</v>
      </c>
      <c r="S13" s="23">
        <f t="shared" si="1"/>
        <v>0</v>
      </c>
      <c r="T13" s="23">
        <f t="shared" si="1"/>
        <v>0</v>
      </c>
      <c r="U13" s="23">
        <f t="shared" si="1"/>
        <v>0</v>
      </c>
      <c r="V13" s="23">
        <f t="shared" si="1"/>
        <v>6</v>
      </c>
      <c r="W13" s="24">
        <f t="shared" si="7"/>
        <v>0</v>
      </c>
      <c r="X13" s="24">
        <f t="shared" si="2"/>
        <v>0</v>
      </c>
      <c r="Y13" s="24">
        <f t="shared" si="2"/>
        <v>0</v>
      </c>
      <c r="Z13" s="24">
        <f t="shared" si="2"/>
        <v>0</v>
      </c>
      <c r="AA13" s="24">
        <f t="shared" si="2"/>
        <v>6</v>
      </c>
      <c r="AB13" s="25">
        <f>W13+M13</f>
        <v>190</v>
      </c>
      <c r="AC13" s="25">
        <f t="shared" si="3"/>
        <v>175</v>
      </c>
      <c r="AD13" s="25">
        <f t="shared" si="3"/>
        <v>230</v>
      </c>
      <c r="AE13" s="25">
        <f t="shared" si="3"/>
        <v>250</v>
      </c>
      <c r="AF13" s="25">
        <f t="shared" si="3"/>
        <v>286</v>
      </c>
      <c r="AG13" s="26">
        <f>IF(AB13&lt;=500,5%*AB13,IF(AB13&lt;800,10%*AB13,15%*AB13))</f>
        <v>9.5</v>
      </c>
      <c r="AH13" s="26">
        <f t="shared" si="4"/>
        <v>8.75</v>
      </c>
      <c r="AI13" s="26">
        <f t="shared" si="4"/>
        <v>11.5</v>
      </c>
      <c r="AJ13" s="26">
        <f t="shared" si="4"/>
        <v>12.5</v>
      </c>
      <c r="AK13" s="26">
        <f t="shared" si="4"/>
        <v>14.3</v>
      </c>
      <c r="AL13" s="27">
        <f>AB13-AG13</f>
        <v>180.5</v>
      </c>
      <c r="AM13" s="27">
        <f t="shared" si="5"/>
        <v>166.25</v>
      </c>
      <c r="AN13" s="27">
        <f t="shared" si="5"/>
        <v>218.5</v>
      </c>
      <c r="AO13" s="27">
        <f t="shared" si="5"/>
        <v>237.5</v>
      </c>
      <c r="AP13" s="27">
        <f t="shared" si="5"/>
        <v>271.7</v>
      </c>
      <c r="AQ13" s="3">
        <f t="shared" si="8"/>
        <v>1074.45</v>
      </c>
    </row>
    <row r="14" spans="1:43" x14ac:dyDescent="0.2">
      <c r="A14">
        <v>111</v>
      </c>
      <c r="B14" t="s">
        <v>53</v>
      </c>
      <c r="C14" t="s">
        <v>54</v>
      </c>
      <c r="D14" t="s">
        <v>32</v>
      </c>
      <c r="E14" s="19">
        <v>14</v>
      </c>
      <c r="F14" s="20">
        <v>45</v>
      </c>
      <c r="G14" s="20">
        <v>52</v>
      </c>
      <c r="H14" s="20">
        <v>54</v>
      </c>
      <c r="I14" s="20">
        <v>39</v>
      </c>
      <c r="J14" s="20">
        <v>54</v>
      </c>
      <c r="K14" t="s">
        <v>29</v>
      </c>
      <c r="L14" s="21">
        <v>14</v>
      </c>
      <c r="M14" s="22">
        <f t="shared" si="6"/>
        <v>630</v>
      </c>
      <c r="N14" s="22">
        <f t="shared" si="0"/>
        <v>728</v>
      </c>
      <c r="O14" s="22">
        <f t="shared" si="0"/>
        <v>756</v>
      </c>
      <c r="P14" s="22">
        <f t="shared" si="0"/>
        <v>546</v>
      </c>
      <c r="Q14" s="22">
        <f t="shared" si="0"/>
        <v>756</v>
      </c>
      <c r="R14" s="23">
        <f>IF(F14-50&lt;0,0,F14-50)</f>
        <v>0</v>
      </c>
      <c r="S14" s="23">
        <f t="shared" si="1"/>
        <v>2</v>
      </c>
      <c r="T14" s="23">
        <f t="shared" si="1"/>
        <v>4</v>
      </c>
      <c r="U14" s="23">
        <f t="shared" si="1"/>
        <v>0</v>
      </c>
      <c r="V14" s="23">
        <f t="shared" si="1"/>
        <v>4</v>
      </c>
      <c r="W14" s="24">
        <f t="shared" si="7"/>
        <v>0</v>
      </c>
      <c r="X14" s="24">
        <f t="shared" si="2"/>
        <v>5.6000000000000005</v>
      </c>
      <c r="Y14" s="24">
        <f t="shared" si="2"/>
        <v>11.200000000000001</v>
      </c>
      <c r="Z14" s="24">
        <f t="shared" si="2"/>
        <v>0</v>
      </c>
      <c r="AA14" s="24">
        <f t="shared" si="2"/>
        <v>11.200000000000001</v>
      </c>
      <c r="AB14" s="25">
        <f>W14+M14</f>
        <v>630</v>
      </c>
      <c r="AC14" s="25">
        <f t="shared" si="3"/>
        <v>733.6</v>
      </c>
      <c r="AD14" s="25">
        <f t="shared" si="3"/>
        <v>767.2</v>
      </c>
      <c r="AE14" s="25">
        <f t="shared" si="3"/>
        <v>546</v>
      </c>
      <c r="AF14" s="25">
        <f t="shared" si="3"/>
        <v>767.2</v>
      </c>
      <c r="AG14" s="26">
        <f>IF(AB14&lt;=500,5%*AB14,IF(AB14&lt;800,10%*AB14,15%*AB14))</f>
        <v>63</v>
      </c>
      <c r="AH14" s="26">
        <f t="shared" si="4"/>
        <v>73.36</v>
      </c>
      <c r="AI14" s="26">
        <f t="shared" si="4"/>
        <v>76.720000000000013</v>
      </c>
      <c r="AJ14" s="26">
        <f t="shared" si="4"/>
        <v>54.6</v>
      </c>
      <c r="AK14" s="26">
        <f t="shared" si="4"/>
        <v>76.720000000000013</v>
      </c>
      <c r="AL14" s="27">
        <f>AB14-AG14</f>
        <v>567</v>
      </c>
      <c r="AM14" s="27">
        <f t="shared" si="5"/>
        <v>660.24</v>
      </c>
      <c r="AN14" s="27">
        <f t="shared" si="5"/>
        <v>690.48</v>
      </c>
      <c r="AO14" s="27">
        <f t="shared" si="5"/>
        <v>491.4</v>
      </c>
      <c r="AP14" s="27">
        <f t="shared" si="5"/>
        <v>690.48</v>
      </c>
      <c r="AQ14" s="3">
        <f t="shared" si="8"/>
        <v>3099.6</v>
      </c>
    </row>
    <row r="15" spans="1:43" x14ac:dyDescent="0.2">
      <c r="A15">
        <v>112</v>
      </c>
      <c r="B15" t="s">
        <v>55</v>
      </c>
      <c r="C15" t="s">
        <v>56</v>
      </c>
      <c r="D15" t="s">
        <v>36</v>
      </c>
      <c r="E15" s="19">
        <v>22</v>
      </c>
      <c r="F15" s="20">
        <v>55</v>
      </c>
      <c r="G15" s="20">
        <v>50</v>
      </c>
      <c r="H15" s="20">
        <v>47</v>
      </c>
      <c r="I15" s="20">
        <v>59</v>
      </c>
      <c r="J15" s="20">
        <v>41</v>
      </c>
      <c r="K15" t="s">
        <v>42</v>
      </c>
      <c r="L15" s="21">
        <v>22</v>
      </c>
      <c r="M15" s="22">
        <f t="shared" si="6"/>
        <v>1210</v>
      </c>
      <c r="N15" s="22">
        <f t="shared" si="0"/>
        <v>1100</v>
      </c>
      <c r="O15" s="22">
        <f t="shared" si="0"/>
        <v>1034</v>
      </c>
      <c r="P15" s="22">
        <f t="shared" si="0"/>
        <v>1298</v>
      </c>
      <c r="Q15" s="22">
        <f t="shared" si="0"/>
        <v>902</v>
      </c>
      <c r="R15" s="23">
        <f>IF(F15-50&lt;0,0,F15-50)</f>
        <v>5</v>
      </c>
      <c r="S15" s="23">
        <f t="shared" si="1"/>
        <v>0</v>
      </c>
      <c r="T15" s="23">
        <f t="shared" si="1"/>
        <v>0</v>
      </c>
      <c r="U15" s="23">
        <f t="shared" si="1"/>
        <v>9</v>
      </c>
      <c r="V15" s="23">
        <f t="shared" si="1"/>
        <v>0</v>
      </c>
      <c r="W15" s="24">
        <f t="shared" si="7"/>
        <v>22</v>
      </c>
      <c r="X15" s="24">
        <f t="shared" si="2"/>
        <v>0</v>
      </c>
      <c r="Y15" s="24">
        <f t="shared" si="2"/>
        <v>0</v>
      </c>
      <c r="Z15" s="24">
        <f t="shared" si="2"/>
        <v>39.6</v>
      </c>
      <c r="AA15" s="24">
        <f t="shared" si="2"/>
        <v>0</v>
      </c>
      <c r="AB15" s="25">
        <f>W15+M15</f>
        <v>1232</v>
      </c>
      <c r="AC15" s="25">
        <f t="shared" si="3"/>
        <v>1100</v>
      </c>
      <c r="AD15" s="25">
        <f t="shared" si="3"/>
        <v>1034</v>
      </c>
      <c r="AE15" s="25">
        <f t="shared" si="3"/>
        <v>1337.6</v>
      </c>
      <c r="AF15" s="25">
        <f t="shared" si="3"/>
        <v>902</v>
      </c>
      <c r="AG15" s="26">
        <f>IF(AB15&lt;=500,5%*AB15,IF(AB15&lt;800,10%*AB15,15%*AB15))</f>
        <v>184.79999999999998</v>
      </c>
      <c r="AH15" s="26">
        <f t="shared" si="4"/>
        <v>165</v>
      </c>
      <c r="AI15" s="26">
        <f t="shared" si="4"/>
        <v>155.1</v>
      </c>
      <c r="AJ15" s="26">
        <f t="shared" si="4"/>
        <v>200.64</v>
      </c>
      <c r="AK15" s="26">
        <f t="shared" si="4"/>
        <v>135.29999999999998</v>
      </c>
      <c r="AL15" s="27">
        <f>AB15-AG15</f>
        <v>1047.2</v>
      </c>
      <c r="AM15" s="27">
        <f t="shared" si="5"/>
        <v>935</v>
      </c>
      <c r="AN15" s="27">
        <f t="shared" si="5"/>
        <v>878.9</v>
      </c>
      <c r="AO15" s="27">
        <f t="shared" si="5"/>
        <v>1136.96</v>
      </c>
      <c r="AP15" s="27">
        <f t="shared" si="5"/>
        <v>766.7</v>
      </c>
      <c r="AQ15" s="3">
        <f t="shared" si="8"/>
        <v>4764.76</v>
      </c>
    </row>
    <row r="16" spans="1:43" x14ac:dyDescent="0.2">
      <c r="A16">
        <v>113</v>
      </c>
      <c r="B16" t="s">
        <v>57</v>
      </c>
      <c r="C16" t="s">
        <v>58</v>
      </c>
      <c r="D16" t="s">
        <v>39</v>
      </c>
      <c r="E16" s="19">
        <v>16</v>
      </c>
      <c r="F16" s="20">
        <v>60</v>
      </c>
      <c r="G16" s="20">
        <v>44</v>
      </c>
      <c r="H16" s="20">
        <v>46</v>
      </c>
      <c r="I16" s="20">
        <v>52</v>
      </c>
      <c r="J16" s="20">
        <v>57</v>
      </c>
      <c r="K16" t="s">
        <v>29</v>
      </c>
      <c r="L16" s="21">
        <v>16</v>
      </c>
      <c r="M16" s="22">
        <f t="shared" si="6"/>
        <v>960</v>
      </c>
      <c r="N16" s="22">
        <f t="shared" si="0"/>
        <v>704</v>
      </c>
      <c r="O16" s="22">
        <f t="shared" si="0"/>
        <v>736</v>
      </c>
      <c r="P16" s="22">
        <f t="shared" si="0"/>
        <v>832</v>
      </c>
      <c r="Q16" s="22">
        <f t="shared" si="0"/>
        <v>912</v>
      </c>
      <c r="R16" s="23">
        <f>IF(F16-50&lt;0,0,F16-50)</f>
        <v>10</v>
      </c>
      <c r="S16" s="23">
        <f t="shared" si="1"/>
        <v>0</v>
      </c>
      <c r="T16" s="23">
        <f t="shared" si="1"/>
        <v>0</v>
      </c>
      <c r="U16" s="23">
        <f t="shared" si="1"/>
        <v>2</v>
      </c>
      <c r="V16" s="23">
        <f t="shared" si="1"/>
        <v>7</v>
      </c>
      <c r="W16" s="24">
        <f t="shared" si="7"/>
        <v>32</v>
      </c>
      <c r="X16" s="24">
        <f t="shared" si="2"/>
        <v>0</v>
      </c>
      <c r="Y16" s="24">
        <f t="shared" si="2"/>
        <v>0</v>
      </c>
      <c r="Z16" s="24">
        <f t="shared" si="2"/>
        <v>6.4</v>
      </c>
      <c r="AA16" s="24">
        <f t="shared" si="2"/>
        <v>22.400000000000002</v>
      </c>
      <c r="AB16" s="25">
        <f>W16+M16</f>
        <v>992</v>
      </c>
      <c r="AC16" s="25">
        <f t="shared" si="3"/>
        <v>704</v>
      </c>
      <c r="AD16" s="25">
        <f t="shared" si="3"/>
        <v>736</v>
      </c>
      <c r="AE16" s="25">
        <f t="shared" si="3"/>
        <v>838.4</v>
      </c>
      <c r="AF16" s="25">
        <f t="shared" si="3"/>
        <v>934.4</v>
      </c>
      <c r="AG16" s="26">
        <f>IF(AB16&lt;=500,5%*AB16,IF(AB16&lt;800,10%*AB16,15%*AB16))</f>
        <v>148.79999999999998</v>
      </c>
      <c r="AH16" s="26">
        <f t="shared" si="4"/>
        <v>70.400000000000006</v>
      </c>
      <c r="AI16" s="26">
        <f t="shared" si="4"/>
        <v>73.600000000000009</v>
      </c>
      <c r="AJ16" s="26">
        <f t="shared" si="4"/>
        <v>125.75999999999999</v>
      </c>
      <c r="AK16" s="26">
        <f t="shared" si="4"/>
        <v>140.16</v>
      </c>
      <c r="AL16" s="27">
        <f>AB16-AG16</f>
        <v>843.2</v>
      </c>
      <c r="AM16" s="27">
        <f t="shared" si="5"/>
        <v>633.6</v>
      </c>
      <c r="AN16" s="27">
        <f t="shared" si="5"/>
        <v>662.4</v>
      </c>
      <c r="AO16" s="27">
        <f t="shared" si="5"/>
        <v>712.64</v>
      </c>
      <c r="AP16" s="27">
        <f t="shared" si="5"/>
        <v>794.24</v>
      </c>
      <c r="AQ16" s="3">
        <f t="shared" si="8"/>
        <v>3646.08</v>
      </c>
    </row>
    <row r="17" spans="1:43" x14ac:dyDescent="0.2">
      <c r="A17">
        <v>114</v>
      </c>
      <c r="B17" t="s">
        <v>59</v>
      </c>
      <c r="C17" t="s">
        <v>60</v>
      </c>
      <c r="D17" t="s">
        <v>28</v>
      </c>
      <c r="E17" s="19">
        <v>22</v>
      </c>
      <c r="F17" s="20">
        <v>56</v>
      </c>
      <c r="G17" s="20">
        <v>43</v>
      </c>
      <c r="H17" s="20">
        <v>56</v>
      </c>
      <c r="I17" s="20">
        <v>48</v>
      </c>
      <c r="J17" s="20">
        <v>36</v>
      </c>
      <c r="K17" t="s">
        <v>33</v>
      </c>
      <c r="L17" s="21">
        <v>22</v>
      </c>
      <c r="M17" s="22">
        <f t="shared" si="6"/>
        <v>1232</v>
      </c>
      <c r="N17" s="22">
        <f t="shared" si="0"/>
        <v>946</v>
      </c>
      <c r="O17" s="22">
        <f t="shared" si="0"/>
        <v>1232</v>
      </c>
      <c r="P17" s="22">
        <f t="shared" si="0"/>
        <v>1056</v>
      </c>
      <c r="Q17" s="22">
        <f t="shared" si="0"/>
        <v>792</v>
      </c>
      <c r="R17" s="23">
        <f>IF(F17-50&lt;0,0,F17-50)</f>
        <v>6</v>
      </c>
      <c r="S17" s="23">
        <f t="shared" si="1"/>
        <v>0</v>
      </c>
      <c r="T17" s="23">
        <f t="shared" si="1"/>
        <v>6</v>
      </c>
      <c r="U17" s="23">
        <f t="shared" si="1"/>
        <v>0</v>
      </c>
      <c r="V17" s="23">
        <f t="shared" si="1"/>
        <v>0</v>
      </c>
      <c r="W17" s="24">
        <f t="shared" si="7"/>
        <v>26.400000000000002</v>
      </c>
      <c r="X17" s="24">
        <f t="shared" si="2"/>
        <v>0</v>
      </c>
      <c r="Y17" s="24">
        <f t="shared" si="2"/>
        <v>26.400000000000002</v>
      </c>
      <c r="Z17" s="24">
        <f t="shared" si="2"/>
        <v>0</v>
      </c>
      <c r="AA17" s="24">
        <f t="shared" si="2"/>
        <v>0</v>
      </c>
      <c r="AB17" s="25">
        <f>W17+M17</f>
        <v>1258.4000000000001</v>
      </c>
      <c r="AC17" s="25">
        <f t="shared" si="3"/>
        <v>946</v>
      </c>
      <c r="AD17" s="25">
        <f t="shared" si="3"/>
        <v>1258.4000000000001</v>
      </c>
      <c r="AE17" s="25">
        <f t="shared" si="3"/>
        <v>1056</v>
      </c>
      <c r="AF17" s="25">
        <f t="shared" si="3"/>
        <v>792</v>
      </c>
      <c r="AG17" s="26">
        <f>IF(AB17&lt;=500,5%*AB17,IF(AB17&lt;800,10%*AB17,15%*AB17))</f>
        <v>188.76000000000002</v>
      </c>
      <c r="AH17" s="26">
        <f t="shared" si="4"/>
        <v>141.9</v>
      </c>
      <c r="AI17" s="26">
        <f t="shared" si="4"/>
        <v>188.76000000000002</v>
      </c>
      <c r="AJ17" s="26">
        <f t="shared" si="4"/>
        <v>158.4</v>
      </c>
      <c r="AK17" s="26">
        <f t="shared" si="4"/>
        <v>79.2</v>
      </c>
      <c r="AL17" s="27">
        <f>AB17-AG17</f>
        <v>1069.6400000000001</v>
      </c>
      <c r="AM17" s="27">
        <f t="shared" si="5"/>
        <v>804.1</v>
      </c>
      <c r="AN17" s="27">
        <f t="shared" si="5"/>
        <v>1069.6400000000001</v>
      </c>
      <c r="AO17" s="27">
        <f t="shared" si="5"/>
        <v>897.6</v>
      </c>
      <c r="AP17" s="27">
        <f t="shared" si="5"/>
        <v>712.8</v>
      </c>
      <c r="AQ17" s="3">
        <f t="shared" si="8"/>
        <v>4553.78</v>
      </c>
    </row>
    <row r="18" spans="1:43" x14ac:dyDescent="0.2">
      <c r="A18">
        <v>115</v>
      </c>
      <c r="B18" t="s">
        <v>61</v>
      </c>
      <c r="C18" t="s">
        <v>62</v>
      </c>
      <c r="D18" t="s">
        <v>32</v>
      </c>
      <c r="E18" s="19">
        <v>19</v>
      </c>
      <c r="F18" s="20">
        <v>35</v>
      </c>
      <c r="G18" s="20">
        <v>42</v>
      </c>
      <c r="H18" s="20">
        <v>38</v>
      </c>
      <c r="I18" s="20">
        <v>35</v>
      </c>
      <c r="J18" s="20">
        <v>37</v>
      </c>
      <c r="K18" t="s">
        <v>29</v>
      </c>
      <c r="L18" s="21">
        <v>19</v>
      </c>
      <c r="M18" s="22">
        <f t="shared" si="6"/>
        <v>665</v>
      </c>
      <c r="N18" s="22">
        <f t="shared" si="0"/>
        <v>798</v>
      </c>
      <c r="O18" s="22">
        <f t="shared" si="0"/>
        <v>722</v>
      </c>
      <c r="P18" s="22">
        <f t="shared" si="0"/>
        <v>665</v>
      </c>
      <c r="Q18" s="22">
        <f t="shared" si="0"/>
        <v>703</v>
      </c>
      <c r="R18" s="23">
        <f>IF(F18-50&lt;0,0,F18-50)</f>
        <v>0</v>
      </c>
      <c r="S18" s="23">
        <f t="shared" si="1"/>
        <v>0</v>
      </c>
      <c r="T18" s="23">
        <f t="shared" si="1"/>
        <v>0</v>
      </c>
      <c r="U18" s="23">
        <f t="shared" si="1"/>
        <v>0</v>
      </c>
      <c r="V18" s="23">
        <f t="shared" si="1"/>
        <v>0</v>
      </c>
      <c r="W18" s="24">
        <f t="shared" si="7"/>
        <v>0</v>
      </c>
      <c r="X18" s="24">
        <f t="shared" si="2"/>
        <v>0</v>
      </c>
      <c r="Y18" s="24">
        <f t="shared" si="2"/>
        <v>0</v>
      </c>
      <c r="Z18" s="24">
        <f t="shared" si="2"/>
        <v>0</v>
      </c>
      <c r="AA18" s="24">
        <f t="shared" si="2"/>
        <v>0</v>
      </c>
      <c r="AB18" s="25">
        <f>W18+M18</f>
        <v>665</v>
      </c>
      <c r="AC18" s="25">
        <f t="shared" si="3"/>
        <v>798</v>
      </c>
      <c r="AD18" s="25">
        <f t="shared" si="3"/>
        <v>722</v>
      </c>
      <c r="AE18" s="25">
        <f t="shared" si="3"/>
        <v>665</v>
      </c>
      <c r="AF18" s="25">
        <f t="shared" si="3"/>
        <v>703</v>
      </c>
      <c r="AG18" s="26">
        <f>IF(AB18&lt;=500,5%*AB18,IF(AB18&lt;800,10%*AB18,15%*AB18))</f>
        <v>66.5</v>
      </c>
      <c r="AH18" s="26">
        <f t="shared" si="4"/>
        <v>79.800000000000011</v>
      </c>
      <c r="AI18" s="26">
        <f t="shared" si="4"/>
        <v>72.2</v>
      </c>
      <c r="AJ18" s="26">
        <f t="shared" si="4"/>
        <v>66.5</v>
      </c>
      <c r="AK18" s="26">
        <f t="shared" si="4"/>
        <v>70.3</v>
      </c>
      <c r="AL18" s="27">
        <f>AB18-AG18</f>
        <v>598.5</v>
      </c>
      <c r="AM18" s="27">
        <f t="shared" si="5"/>
        <v>718.2</v>
      </c>
      <c r="AN18" s="27">
        <f t="shared" si="5"/>
        <v>649.79999999999995</v>
      </c>
      <c r="AO18" s="27">
        <f t="shared" si="5"/>
        <v>598.5</v>
      </c>
      <c r="AP18" s="27">
        <f t="shared" si="5"/>
        <v>632.70000000000005</v>
      </c>
      <c r="AQ18" s="3">
        <f t="shared" si="8"/>
        <v>3197.7</v>
      </c>
    </row>
    <row r="19" spans="1:43" x14ac:dyDescent="0.2">
      <c r="A19">
        <v>116</v>
      </c>
      <c r="B19" t="s">
        <v>63</v>
      </c>
      <c r="C19" t="s">
        <v>64</v>
      </c>
      <c r="D19" t="s">
        <v>36</v>
      </c>
      <c r="E19" s="19">
        <v>10</v>
      </c>
      <c r="F19" s="20">
        <v>55</v>
      </c>
      <c r="G19" s="20">
        <v>41</v>
      </c>
      <c r="H19" s="20">
        <v>45</v>
      </c>
      <c r="I19" s="20">
        <v>58</v>
      </c>
      <c r="J19" s="20">
        <v>41</v>
      </c>
      <c r="K19" t="s">
        <v>42</v>
      </c>
      <c r="L19" s="21">
        <v>10</v>
      </c>
      <c r="M19" s="22">
        <f t="shared" si="6"/>
        <v>550</v>
      </c>
      <c r="N19" s="22">
        <f t="shared" si="0"/>
        <v>410</v>
      </c>
      <c r="O19" s="22">
        <f t="shared" si="0"/>
        <v>450</v>
      </c>
      <c r="P19" s="22">
        <f t="shared" si="0"/>
        <v>580</v>
      </c>
      <c r="Q19" s="22">
        <f t="shared" si="0"/>
        <v>410</v>
      </c>
      <c r="R19" s="23">
        <f>IF(F19-50&lt;0,0,F19-50)</f>
        <v>5</v>
      </c>
      <c r="S19" s="23">
        <f t="shared" si="1"/>
        <v>0</v>
      </c>
      <c r="T19" s="23">
        <f t="shared" si="1"/>
        <v>0</v>
      </c>
      <c r="U19" s="23">
        <f t="shared" si="1"/>
        <v>8</v>
      </c>
      <c r="V19" s="23">
        <f t="shared" si="1"/>
        <v>0</v>
      </c>
      <c r="W19" s="24">
        <f t="shared" si="7"/>
        <v>10</v>
      </c>
      <c r="X19" s="24">
        <f t="shared" si="2"/>
        <v>0</v>
      </c>
      <c r="Y19" s="24">
        <f t="shared" si="2"/>
        <v>0</v>
      </c>
      <c r="Z19" s="24">
        <f t="shared" si="2"/>
        <v>16</v>
      </c>
      <c r="AA19" s="24">
        <f t="shared" si="2"/>
        <v>0</v>
      </c>
      <c r="AB19" s="25">
        <f>W19+M19</f>
        <v>560</v>
      </c>
      <c r="AC19" s="25">
        <f t="shared" si="3"/>
        <v>410</v>
      </c>
      <c r="AD19" s="25">
        <f t="shared" si="3"/>
        <v>450</v>
      </c>
      <c r="AE19" s="25">
        <f t="shared" si="3"/>
        <v>596</v>
      </c>
      <c r="AF19" s="25">
        <f t="shared" si="3"/>
        <v>410</v>
      </c>
      <c r="AG19" s="26">
        <f>IF(AB19&lt;=500,5%*AB19,IF(AB19&lt;800,10%*AB19,15%*AB19))</f>
        <v>56</v>
      </c>
      <c r="AH19" s="26">
        <f t="shared" si="4"/>
        <v>20.5</v>
      </c>
      <c r="AI19" s="26">
        <f t="shared" si="4"/>
        <v>22.5</v>
      </c>
      <c r="AJ19" s="26">
        <f t="shared" si="4"/>
        <v>59.6</v>
      </c>
      <c r="AK19" s="26">
        <f t="shared" si="4"/>
        <v>20.5</v>
      </c>
      <c r="AL19" s="27">
        <f>AB19-AG19</f>
        <v>504</v>
      </c>
      <c r="AM19" s="27">
        <f t="shared" si="5"/>
        <v>389.5</v>
      </c>
      <c r="AN19" s="27">
        <f t="shared" si="5"/>
        <v>427.5</v>
      </c>
      <c r="AO19" s="27">
        <f t="shared" si="5"/>
        <v>536.4</v>
      </c>
      <c r="AP19" s="27">
        <f t="shared" si="5"/>
        <v>389.5</v>
      </c>
      <c r="AQ19" s="3">
        <f t="shared" si="8"/>
        <v>2246.9</v>
      </c>
    </row>
    <row r="20" spans="1:43" x14ac:dyDescent="0.2">
      <c r="A20">
        <v>117</v>
      </c>
      <c r="B20" t="s">
        <v>65</v>
      </c>
      <c r="C20" t="s">
        <v>66</v>
      </c>
      <c r="D20" t="s">
        <v>39</v>
      </c>
      <c r="E20" s="19">
        <v>11</v>
      </c>
      <c r="F20" s="20">
        <v>38</v>
      </c>
      <c r="G20" s="20">
        <v>37</v>
      </c>
      <c r="H20" s="20">
        <v>42</v>
      </c>
      <c r="I20" s="20">
        <v>41</v>
      </c>
      <c r="J20" s="20">
        <v>59</v>
      </c>
      <c r="K20" t="s">
        <v>33</v>
      </c>
      <c r="L20" s="21">
        <v>11</v>
      </c>
      <c r="M20" s="22">
        <f t="shared" si="6"/>
        <v>418</v>
      </c>
      <c r="N20" s="22">
        <f t="shared" si="6"/>
        <v>407</v>
      </c>
      <c r="O20" s="22">
        <f t="shared" si="6"/>
        <v>462</v>
      </c>
      <c r="P20" s="22">
        <f t="shared" si="6"/>
        <v>451</v>
      </c>
      <c r="Q20" s="22">
        <f t="shared" si="6"/>
        <v>649</v>
      </c>
      <c r="R20" s="23">
        <f>IF(F20-50&lt;0,0,F20-50)</f>
        <v>0</v>
      </c>
      <c r="S20" s="23">
        <f t="shared" ref="S20:V23" si="9">IF(G20-50&lt;0,0,G20-50)</f>
        <v>0</v>
      </c>
      <c r="T20" s="23">
        <f t="shared" si="9"/>
        <v>0</v>
      </c>
      <c r="U20" s="23">
        <f t="shared" si="9"/>
        <v>0</v>
      </c>
      <c r="V20" s="23">
        <f t="shared" si="9"/>
        <v>9</v>
      </c>
      <c r="W20" s="24">
        <f t="shared" si="7"/>
        <v>0</v>
      </c>
      <c r="X20" s="24">
        <f t="shared" si="7"/>
        <v>0</v>
      </c>
      <c r="Y20" s="24">
        <f t="shared" si="7"/>
        <v>0</v>
      </c>
      <c r="Z20" s="24">
        <f t="shared" si="7"/>
        <v>0</v>
      </c>
      <c r="AA20" s="24">
        <f t="shared" si="7"/>
        <v>19.8</v>
      </c>
      <c r="AB20" s="25">
        <f>W20+M20</f>
        <v>418</v>
      </c>
      <c r="AC20" s="25">
        <f t="shared" ref="AC20:AF23" si="10">X20+N20</f>
        <v>407</v>
      </c>
      <c r="AD20" s="25">
        <f t="shared" si="10"/>
        <v>462</v>
      </c>
      <c r="AE20" s="25">
        <f t="shared" si="10"/>
        <v>451</v>
      </c>
      <c r="AF20" s="25">
        <f t="shared" si="10"/>
        <v>668.8</v>
      </c>
      <c r="AG20" s="26">
        <f>IF(AB20&lt;=500,5%*AB20,IF(AB20&lt;800,10%*AB20,15%*AB20))</f>
        <v>20.900000000000002</v>
      </c>
      <c r="AH20" s="26">
        <f t="shared" ref="AH20:AK23" si="11">IF(AC20&lt;=500,5%*AC20,IF(AC20&lt;800,10%*AC20,15%*AC20))</f>
        <v>20.350000000000001</v>
      </c>
      <c r="AI20" s="26">
        <f t="shared" si="11"/>
        <v>23.1</v>
      </c>
      <c r="AJ20" s="26">
        <f t="shared" si="11"/>
        <v>22.55</v>
      </c>
      <c r="AK20" s="26">
        <f t="shared" si="11"/>
        <v>66.88</v>
      </c>
      <c r="AL20" s="27">
        <f>AB20-AG20</f>
        <v>397.1</v>
      </c>
      <c r="AM20" s="27">
        <f t="shared" ref="AM20:AP23" si="12">AC20-AH20</f>
        <v>386.65</v>
      </c>
      <c r="AN20" s="27">
        <f t="shared" si="12"/>
        <v>438.9</v>
      </c>
      <c r="AO20" s="27">
        <f t="shared" si="12"/>
        <v>428.45</v>
      </c>
      <c r="AP20" s="27">
        <f t="shared" si="12"/>
        <v>601.91999999999996</v>
      </c>
      <c r="AQ20" s="3">
        <f t="shared" si="8"/>
        <v>2253.02</v>
      </c>
    </row>
    <row r="21" spans="1:43" x14ac:dyDescent="0.2">
      <c r="A21">
        <v>118</v>
      </c>
      <c r="B21" t="s">
        <v>67</v>
      </c>
      <c r="C21" t="s">
        <v>68</v>
      </c>
      <c r="D21" t="s">
        <v>28</v>
      </c>
      <c r="E21" s="19">
        <v>19</v>
      </c>
      <c r="F21" s="20">
        <v>45</v>
      </c>
      <c r="G21" s="20">
        <v>52</v>
      </c>
      <c r="H21" s="20">
        <v>35</v>
      </c>
      <c r="I21" s="20">
        <v>42</v>
      </c>
      <c r="J21" s="20">
        <v>53</v>
      </c>
      <c r="K21" t="s">
        <v>29</v>
      </c>
      <c r="L21" s="21">
        <v>19</v>
      </c>
      <c r="M21" s="22">
        <f t="shared" si="6"/>
        <v>855</v>
      </c>
      <c r="N21" s="22">
        <f t="shared" si="6"/>
        <v>988</v>
      </c>
      <c r="O21" s="22">
        <f t="shared" si="6"/>
        <v>665</v>
      </c>
      <c r="P21" s="22">
        <f t="shared" si="6"/>
        <v>798</v>
      </c>
      <c r="Q21" s="22">
        <f t="shared" si="6"/>
        <v>1007</v>
      </c>
      <c r="R21" s="23">
        <f>IF(F21-50&lt;0,0,F21-50)</f>
        <v>0</v>
      </c>
      <c r="S21" s="23">
        <f t="shared" si="9"/>
        <v>2</v>
      </c>
      <c r="T21" s="23">
        <f t="shared" si="9"/>
        <v>0</v>
      </c>
      <c r="U21" s="23">
        <f t="shared" si="9"/>
        <v>0</v>
      </c>
      <c r="V21" s="23">
        <f t="shared" si="9"/>
        <v>3</v>
      </c>
      <c r="W21" s="24">
        <f t="shared" si="7"/>
        <v>0</v>
      </c>
      <c r="X21" s="24">
        <f t="shared" si="7"/>
        <v>7.6000000000000005</v>
      </c>
      <c r="Y21" s="24">
        <f t="shared" si="7"/>
        <v>0</v>
      </c>
      <c r="Z21" s="24">
        <f t="shared" si="7"/>
        <v>0</v>
      </c>
      <c r="AA21" s="24">
        <f t="shared" si="7"/>
        <v>11.4</v>
      </c>
      <c r="AB21" s="25">
        <f>W21+M21</f>
        <v>855</v>
      </c>
      <c r="AC21" s="25">
        <f t="shared" si="10"/>
        <v>995.6</v>
      </c>
      <c r="AD21" s="25">
        <f t="shared" si="10"/>
        <v>665</v>
      </c>
      <c r="AE21" s="25">
        <f t="shared" si="10"/>
        <v>798</v>
      </c>
      <c r="AF21" s="25">
        <f t="shared" si="10"/>
        <v>1018.4</v>
      </c>
      <c r="AG21" s="26">
        <f>IF(AB21&lt;=500,5%*AB21,IF(AB21&lt;800,10%*AB21,15%*AB21))</f>
        <v>128.25</v>
      </c>
      <c r="AH21" s="26">
        <f t="shared" si="11"/>
        <v>149.34</v>
      </c>
      <c r="AI21" s="26">
        <f t="shared" si="11"/>
        <v>66.5</v>
      </c>
      <c r="AJ21" s="26">
        <f t="shared" si="11"/>
        <v>79.800000000000011</v>
      </c>
      <c r="AK21" s="26">
        <f t="shared" si="11"/>
        <v>152.76</v>
      </c>
      <c r="AL21" s="27">
        <f>AB21-AG21</f>
        <v>726.75</v>
      </c>
      <c r="AM21" s="27">
        <f t="shared" si="12"/>
        <v>846.26</v>
      </c>
      <c r="AN21" s="27">
        <f t="shared" si="12"/>
        <v>598.5</v>
      </c>
      <c r="AO21" s="27">
        <f t="shared" si="12"/>
        <v>718.2</v>
      </c>
      <c r="AP21" s="27">
        <f t="shared" si="12"/>
        <v>865.64</v>
      </c>
      <c r="AQ21" s="3">
        <f t="shared" si="8"/>
        <v>3755.35</v>
      </c>
    </row>
    <row r="22" spans="1:43" x14ac:dyDescent="0.2">
      <c r="A22">
        <v>119</v>
      </c>
      <c r="B22" t="s">
        <v>69</v>
      </c>
      <c r="C22" t="s">
        <v>70</v>
      </c>
      <c r="D22" t="s">
        <v>32</v>
      </c>
      <c r="E22" s="19">
        <v>5</v>
      </c>
      <c r="F22" s="20">
        <v>48</v>
      </c>
      <c r="G22" s="20">
        <v>53</v>
      </c>
      <c r="H22" s="20">
        <v>49</v>
      </c>
      <c r="I22" s="20">
        <v>37</v>
      </c>
      <c r="J22" s="20">
        <v>37</v>
      </c>
      <c r="K22" t="s">
        <v>29</v>
      </c>
      <c r="L22" s="21">
        <v>5</v>
      </c>
      <c r="M22" s="22">
        <f t="shared" si="6"/>
        <v>240</v>
      </c>
      <c r="N22" s="22">
        <f t="shared" si="6"/>
        <v>265</v>
      </c>
      <c r="O22" s="22">
        <f t="shared" si="6"/>
        <v>245</v>
      </c>
      <c r="P22" s="22">
        <f t="shared" si="6"/>
        <v>185</v>
      </c>
      <c r="Q22" s="22">
        <f t="shared" si="6"/>
        <v>185</v>
      </c>
      <c r="R22" s="23">
        <f>IF(F22-50&lt;0,0,F22-50)</f>
        <v>0</v>
      </c>
      <c r="S22" s="23">
        <f t="shared" si="9"/>
        <v>3</v>
      </c>
      <c r="T22" s="23">
        <f t="shared" si="9"/>
        <v>0</v>
      </c>
      <c r="U22" s="23">
        <f t="shared" si="9"/>
        <v>0</v>
      </c>
      <c r="V22" s="23">
        <f t="shared" si="9"/>
        <v>0</v>
      </c>
      <c r="W22" s="24">
        <f t="shared" si="7"/>
        <v>0</v>
      </c>
      <c r="X22" s="24">
        <f t="shared" si="7"/>
        <v>3</v>
      </c>
      <c r="Y22" s="24">
        <f t="shared" si="7"/>
        <v>0</v>
      </c>
      <c r="Z22" s="24">
        <f t="shared" si="7"/>
        <v>0</v>
      </c>
      <c r="AA22" s="24">
        <f t="shared" si="7"/>
        <v>0</v>
      </c>
      <c r="AB22" s="25">
        <f>W22+M22</f>
        <v>240</v>
      </c>
      <c r="AC22" s="25">
        <f t="shared" si="10"/>
        <v>268</v>
      </c>
      <c r="AD22" s="25">
        <f t="shared" si="10"/>
        <v>245</v>
      </c>
      <c r="AE22" s="25">
        <f t="shared" si="10"/>
        <v>185</v>
      </c>
      <c r="AF22" s="25">
        <f t="shared" si="10"/>
        <v>185</v>
      </c>
      <c r="AG22" s="26">
        <f>IF(AB22&lt;=500,5%*AB22,IF(AB22&lt;800,10%*AB22,15%*AB22))</f>
        <v>12</v>
      </c>
      <c r="AH22" s="26">
        <f t="shared" si="11"/>
        <v>13.4</v>
      </c>
      <c r="AI22" s="26">
        <f t="shared" si="11"/>
        <v>12.25</v>
      </c>
      <c r="AJ22" s="26">
        <f t="shared" si="11"/>
        <v>9.25</v>
      </c>
      <c r="AK22" s="26">
        <f t="shared" si="11"/>
        <v>9.25</v>
      </c>
      <c r="AL22" s="27">
        <f>AB22-AG22</f>
        <v>228</v>
      </c>
      <c r="AM22" s="27">
        <f t="shared" si="12"/>
        <v>254.6</v>
      </c>
      <c r="AN22" s="27">
        <f t="shared" si="12"/>
        <v>232.75</v>
      </c>
      <c r="AO22" s="27">
        <f t="shared" si="12"/>
        <v>175.75</v>
      </c>
      <c r="AP22" s="27">
        <f t="shared" si="12"/>
        <v>175.75</v>
      </c>
      <c r="AQ22" s="3">
        <f t="shared" si="8"/>
        <v>1066.8499999999999</v>
      </c>
    </row>
    <row r="23" spans="1:43" x14ac:dyDescent="0.2">
      <c r="A23">
        <v>120</v>
      </c>
      <c r="B23" t="s">
        <v>71</v>
      </c>
      <c r="C23" t="s">
        <v>72</v>
      </c>
      <c r="D23" t="s">
        <v>36</v>
      </c>
      <c r="E23" s="19">
        <v>15</v>
      </c>
      <c r="F23" s="20">
        <v>56</v>
      </c>
      <c r="G23" s="20">
        <v>54</v>
      </c>
      <c r="H23" s="20">
        <v>56</v>
      </c>
      <c r="I23" s="20">
        <v>36</v>
      </c>
      <c r="J23" s="20">
        <v>43</v>
      </c>
      <c r="K23" t="s">
        <v>42</v>
      </c>
      <c r="L23" s="21">
        <v>15</v>
      </c>
      <c r="M23" s="22">
        <f t="shared" si="6"/>
        <v>840</v>
      </c>
      <c r="N23" s="22">
        <f t="shared" si="6"/>
        <v>810</v>
      </c>
      <c r="O23" s="22">
        <f t="shared" si="6"/>
        <v>840</v>
      </c>
      <c r="P23" s="22">
        <f t="shared" si="6"/>
        <v>540</v>
      </c>
      <c r="Q23" s="22">
        <f t="shared" si="6"/>
        <v>645</v>
      </c>
      <c r="R23" s="23">
        <f>IF(F23-50&lt;0,0,F23-50)</f>
        <v>6</v>
      </c>
      <c r="S23" s="23">
        <f t="shared" si="9"/>
        <v>4</v>
      </c>
      <c r="T23" s="23">
        <f t="shared" si="9"/>
        <v>6</v>
      </c>
      <c r="U23" s="23">
        <f t="shared" si="9"/>
        <v>0</v>
      </c>
      <c r="V23" s="23">
        <f t="shared" si="9"/>
        <v>0</v>
      </c>
      <c r="W23" s="24">
        <f t="shared" si="7"/>
        <v>18</v>
      </c>
      <c r="X23" s="24">
        <f t="shared" si="7"/>
        <v>12</v>
      </c>
      <c r="Y23" s="24">
        <f t="shared" si="7"/>
        <v>18</v>
      </c>
      <c r="Z23" s="24">
        <f t="shared" si="7"/>
        <v>0</v>
      </c>
      <c r="AA23" s="24">
        <f t="shared" si="7"/>
        <v>0</v>
      </c>
      <c r="AB23" s="25">
        <f>W23+M23</f>
        <v>858</v>
      </c>
      <c r="AC23" s="25">
        <f t="shared" si="10"/>
        <v>822</v>
      </c>
      <c r="AD23" s="25">
        <f t="shared" si="10"/>
        <v>858</v>
      </c>
      <c r="AE23" s="25">
        <f t="shared" si="10"/>
        <v>540</v>
      </c>
      <c r="AF23" s="25">
        <f t="shared" si="10"/>
        <v>645</v>
      </c>
      <c r="AG23" s="26">
        <f>IF(AB23&lt;=500,5%*AB23,IF(AB23&lt;800,10%*AB23,15%*AB23))</f>
        <v>128.69999999999999</v>
      </c>
      <c r="AH23" s="26">
        <f t="shared" si="11"/>
        <v>123.3</v>
      </c>
      <c r="AI23" s="26">
        <f t="shared" si="11"/>
        <v>128.69999999999999</v>
      </c>
      <c r="AJ23" s="26">
        <f t="shared" si="11"/>
        <v>54</v>
      </c>
      <c r="AK23" s="26">
        <f t="shared" si="11"/>
        <v>64.5</v>
      </c>
      <c r="AL23" s="27">
        <f>AB23-AG23</f>
        <v>729.3</v>
      </c>
      <c r="AM23" s="27">
        <f t="shared" si="12"/>
        <v>698.7</v>
      </c>
      <c r="AN23" s="27">
        <f t="shared" si="12"/>
        <v>729.3</v>
      </c>
      <c r="AO23" s="27">
        <f t="shared" si="12"/>
        <v>486</v>
      </c>
      <c r="AP23" s="27">
        <f t="shared" si="12"/>
        <v>580.5</v>
      </c>
      <c r="AQ23" s="3">
        <f t="shared" si="8"/>
        <v>3223.8</v>
      </c>
    </row>
    <row r="24" spans="1:43" x14ac:dyDescent="0.2">
      <c r="F24" s="20"/>
      <c r="G24" s="20"/>
      <c r="H24" s="20"/>
      <c r="I24" s="20"/>
      <c r="J24" s="20"/>
      <c r="M24" s="28"/>
      <c r="N24" s="29"/>
      <c r="O24" s="29"/>
      <c r="P24" s="29"/>
      <c r="Q24" s="29"/>
      <c r="R24" s="23"/>
      <c r="S24" s="23"/>
      <c r="T24" s="23"/>
      <c r="U24" s="23"/>
      <c r="V24" s="23"/>
      <c r="W24" s="30"/>
      <c r="X24" s="30"/>
      <c r="Y24" s="30"/>
      <c r="Z24" s="30"/>
      <c r="AA24" s="30"/>
      <c r="AB24" s="31"/>
      <c r="AC24" s="31"/>
      <c r="AD24" s="31"/>
      <c r="AE24" s="31"/>
      <c r="AF24" s="31"/>
      <c r="AG24" s="32"/>
      <c r="AH24" s="32"/>
      <c r="AI24" s="32"/>
      <c r="AJ24" s="32"/>
      <c r="AK24" s="32"/>
      <c r="AL24" s="33"/>
      <c r="AM24" s="33"/>
      <c r="AN24" s="33"/>
      <c r="AO24" s="33"/>
      <c r="AP24" s="33"/>
    </row>
    <row r="25" spans="1:43" x14ac:dyDescent="0.2">
      <c r="D25" t="s">
        <v>73</v>
      </c>
      <c r="E25" s="34">
        <f>MIN(E4:E23)</f>
        <v>5</v>
      </c>
      <c r="F25" s="20">
        <f t="shared" ref="F25:AQ25" si="13">MIN(F4:F23)</f>
        <v>35</v>
      </c>
      <c r="G25" s="20">
        <f t="shared" si="13"/>
        <v>35</v>
      </c>
      <c r="H25" s="20">
        <f t="shared" si="13"/>
        <v>35</v>
      </c>
      <c r="I25" s="20">
        <f t="shared" si="13"/>
        <v>35</v>
      </c>
      <c r="J25" s="20">
        <f t="shared" si="13"/>
        <v>36</v>
      </c>
      <c r="K25" s="34"/>
      <c r="L25" s="34">
        <f t="shared" si="13"/>
        <v>5</v>
      </c>
      <c r="M25" s="35">
        <f t="shared" si="13"/>
        <v>190</v>
      </c>
      <c r="N25" s="35">
        <f t="shared" si="13"/>
        <v>175</v>
      </c>
      <c r="O25" s="35">
        <f t="shared" si="13"/>
        <v>230</v>
      </c>
      <c r="P25" s="35">
        <f t="shared" si="13"/>
        <v>185</v>
      </c>
      <c r="Q25" s="35">
        <f t="shared" si="13"/>
        <v>185</v>
      </c>
      <c r="R25" s="36">
        <f>MIN(R4:R23)</f>
        <v>0</v>
      </c>
      <c r="S25" s="36">
        <f t="shared" si="13"/>
        <v>0</v>
      </c>
      <c r="T25" s="36">
        <f t="shared" si="13"/>
        <v>0</v>
      </c>
      <c r="U25" s="36">
        <f t="shared" si="13"/>
        <v>0</v>
      </c>
      <c r="V25" s="36">
        <f t="shared" si="13"/>
        <v>0</v>
      </c>
      <c r="W25" s="37">
        <f t="shared" si="13"/>
        <v>0</v>
      </c>
      <c r="X25" s="37">
        <f t="shared" si="13"/>
        <v>0</v>
      </c>
      <c r="Y25" s="37">
        <f t="shared" si="13"/>
        <v>0</v>
      </c>
      <c r="Z25" s="37">
        <f t="shared" si="13"/>
        <v>0</v>
      </c>
      <c r="AA25" s="37">
        <f t="shared" si="13"/>
        <v>0</v>
      </c>
      <c r="AB25" s="38">
        <f t="shared" si="13"/>
        <v>190</v>
      </c>
      <c r="AC25" s="38">
        <f t="shared" si="13"/>
        <v>175</v>
      </c>
      <c r="AD25" s="38">
        <f t="shared" si="13"/>
        <v>230</v>
      </c>
      <c r="AE25" s="38">
        <f t="shared" si="13"/>
        <v>185</v>
      </c>
      <c r="AF25" s="38">
        <f t="shared" si="13"/>
        <v>185</v>
      </c>
      <c r="AG25" s="39">
        <f t="shared" si="13"/>
        <v>9.5</v>
      </c>
      <c r="AH25" s="39">
        <f t="shared" si="13"/>
        <v>8.75</v>
      </c>
      <c r="AI25" s="39">
        <f t="shared" si="13"/>
        <v>11.5</v>
      </c>
      <c r="AJ25" s="39">
        <f t="shared" si="13"/>
        <v>9.25</v>
      </c>
      <c r="AK25" s="39">
        <f t="shared" si="13"/>
        <v>9.25</v>
      </c>
      <c r="AL25" s="40">
        <f t="shared" si="13"/>
        <v>180.5</v>
      </c>
      <c r="AM25" s="40">
        <f t="shared" si="13"/>
        <v>166.25</v>
      </c>
      <c r="AN25" s="40">
        <f t="shared" si="13"/>
        <v>218.5</v>
      </c>
      <c r="AO25" s="40">
        <f t="shared" si="13"/>
        <v>175.75</v>
      </c>
      <c r="AP25" s="40">
        <f t="shared" si="13"/>
        <v>175.75</v>
      </c>
      <c r="AQ25" s="28">
        <f t="shared" si="13"/>
        <v>1066.8499999999999</v>
      </c>
    </row>
    <row r="26" spans="1:43" x14ac:dyDescent="0.2">
      <c r="D26" t="s">
        <v>74</v>
      </c>
      <c r="E26" s="34">
        <f>MAX(E4:E23)</f>
        <v>22</v>
      </c>
      <c r="F26" s="20">
        <f t="shared" ref="F26:AQ26" si="14">MAX(F4:F23)</f>
        <v>60</v>
      </c>
      <c r="G26" s="20">
        <f t="shared" si="14"/>
        <v>60</v>
      </c>
      <c r="H26" s="20">
        <f t="shared" si="14"/>
        <v>60</v>
      </c>
      <c r="I26" s="20">
        <f t="shared" si="14"/>
        <v>59</v>
      </c>
      <c r="J26" s="20">
        <f t="shared" si="14"/>
        <v>59</v>
      </c>
      <c r="K26" s="34"/>
      <c r="L26" s="34">
        <f t="shared" si="14"/>
        <v>22</v>
      </c>
      <c r="M26" s="35">
        <f t="shared" si="14"/>
        <v>1232</v>
      </c>
      <c r="N26" s="35">
        <f t="shared" si="14"/>
        <v>1100</v>
      </c>
      <c r="O26" s="35">
        <f t="shared" si="14"/>
        <v>1260</v>
      </c>
      <c r="P26" s="35">
        <f t="shared" si="14"/>
        <v>1298</v>
      </c>
      <c r="Q26" s="35">
        <f t="shared" si="14"/>
        <v>1007</v>
      </c>
      <c r="R26" s="36">
        <f t="shared" si="14"/>
        <v>10</v>
      </c>
      <c r="S26" s="36">
        <f t="shared" si="14"/>
        <v>10</v>
      </c>
      <c r="T26" s="36">
        <f t="shared" si="14"/>
        <v>10</v>
      </c>
      <c r="U26" s="36">
        <f t="shared" si="14"/>
        <v>9</v>
      </c>
      <c r="V26" s="36">
        <f t="shared" si="14"/>
        <v>9</v>
      </c>
      <c r="W26" s="37">
        <f t="shared" si="14"/>
        <v>34</v>
      </c>
      <c r="X26" s="37">
        <f t="shared" si="14"/>
        <v>20</v>
      </c>
      <c r="Y26" s="37">
        <f t="shared" si="14"/>
        <v>42</v>
      </c>
      <c r="Z26" s="37">
        <f t="shared" si="14"/>
        <v>39.6</v>
      </c>
      <c r="AA26" s="37">
        <f t="shared" si="14"/>
        <v>22.400000000000002</v>
      </c>
      <c r="AB26" s="38">
        <f t="shared" si="14"/>
        <v>1258.4000000000001</v>
      </c>
      <c r="AC26" s="38">
        <f t="shared" si="14"/>
        <v>1100.4000000000001</v>
      </c>
      <c r="AD26" s="38">
        <f t="shared" si="14"/>
        <v>1302</v>
      </c>
      <c r="AE26" s="38">
        <f t="shared" si="14"/>
        <v>1337.6</v>
      </c>
      <c r="AF26" s="38">
        <f t="shared" si="14"/>
        <v>1018.4</v>
      </c>
      <c r="AG26" s="39">
        <f t="shared" si="14"/>
        <v>188.76000000000002</v>
      </c>
      <c r="AH26" s="39">
        <f t="shared" si="14"/>
        <v>165.06</v>
      </c>
      <c r="AI26" s="39">
        <f t="shared" si="14"/>
        <v>195.29999999999998</v>
      </c>
      <c r="AJ26" s="39">
        <f t="shared" si="14"/>
        <v>200.64</v>
      </c>
      <c r="AK26" s="39">
        <f t="shared" si="14"/>
        <v>152.76</v>
      </c>
      <c r="AL26" s="40">
        <f t="shared" si="14"/>
        <v>1069.6400000000001</v>
      </c>
      <c r="AM26" s="40">
        <f t="shared" si="14"/>
        <v>935.34000000000015</v>
      </c>
      <c r="AN26" s="40">
        <f t="shared" si="14"/>
        <v>1106.7</v>
      </c>
      <c r="AO26" s="40">
        <f t="shared" si="14"/>
        <v>1136.96</v>
      </c>
      <c r="AP26" s="40">
        <f t="shared" si="14"/>
        <v>865.64</v>
      </c>
      <c r="AQ26" s="28">
        <f t="shared" si="14"/>
        <v>4764.76</v>
      </c>
    </row>
    <row r="27" spans="1:43" x14ac:dyDescent="0.2">
      <c r="D27" t="s">
        <v>75</v>
      </c>
      <c r="E27" s="34">
        <f>AVERAGE(E4:E23)</f>
        <v>13.85</v>
      </c>
      <c r="F27" s="20">
        <f t="shared" ref="F27:AQ27" si="15">AVERAGE(F4:F23)</f>
        <v>49.25</v>
      </c>
      <c r="G27" s="20">
        <f t="shared" si="15"/>
        <v>45.6</v>
      </c>
      <c r="H27" s="20">
        <f t="shared" si="15"/>
        <v>46.25</v>
      </c>
      <c r="I27" s="20">
        <f t="shared" si="15"/>
        <v>44.5</v>
      </c>
      <c r="J27" s="20">
        <f t="shared" si="15"/>
        <v>47.1</v>
      </c>
      <c r="K27" s="34"/>
      <c r="L27" s="34">
        <f t="shared" si="15"/>
        <v>13.85</v>
      </c>
      <c r="M27" s="35">
        <f t="shared" si="15"/>
        <v>690.45</v>
      </c>
      <c r="N27" s="35">
        <f t="shared" si="15"/>
        <v>633</v>
      </c>
      <c r="O27" s="35">
        <f t="shared" si="15"/>
        <v>643.15</v>
      </c>
      <c r="P27" s="35">
        <f t="shared" si="15"/>
        <v>624.04999999999995</v>
      </c>
      <c r="Q27" s="35">
        <f t="shared" si="15"/>
        <v>640.15</v>
      </c>
      <c r="R27" s="36">
        <f t="shared" si="15"/>
        <v>3.1</v>
      </c>
      <c r="S27" s="36">
        <f t="shared" si="15"/>
        <v>1.2</v>
      </c>
      <c r="T27" s="36">
        <f t="shared" si="15"/>
        <v>1.35</v>
      </c>
      <c r="U27" s="36">
        <f t="shared" si="15"/>
        <v>1.1499999999999999</v>
      </c>
      <c r="V27" s="36">
        <f t="shared" si="15"/>
        <v>2</v>
      </c>
      <c r="W27" s="37">
        <f t="shared" si="15"/>
        <v>8.9400000000000013</v>
      </c>
      <c r="X27" s="37">
        <f t="shared" si="15"/>
        <v>2.9</v>
      </c>
      <c r="Y27" s="37">
        <f t="shared" si="15"/>
        <v>4.96</v>
      </c>
      <c r="Z27" s="37">
        <f t="shared" si="15"/>
        <v>3.6</v>
      </c>
      <c r="AA27" s="37">
        <f t="shared" si="15"/>
        <v>4.57</v>
      </c>
      <c r="AB27" s="38">
        <f t="shared" si="15"/>
        <v>699.3900000000001</v>
      </c>
      <c r="AC27" s="38">
        <f t="shared" si="15"/>
        <v>635.90000000000009</v>
      </c>
      <c r="AD27" s="38">
        <f t="shared" si="15"/>
        <v>648.1099999999999</v>
      </c>
      <c r="AE27" s="38">
        <f t="shared" si="15"/>
        <v>627.65</v>
      </c>
      <c r="AF27" s="38">
        <f t="shared" si="15"/>
        <v>644.71999999999991</v>
      </c>
      <c r="AG27" s="39">
        <f t="shared" si="15"/>
        <v>86.179999999999993</v>
      </c>
      <c r="AH27" s="39">
        <f t="shared" si="15"/>
        <v>71.811499999999995</v>
      </c>
      <c r="AI27" s="39">
        <f t="shared" si="15"/>
        <v>72.553000000000011</v>
      </c>
      <c r="AJ27" s="39">
        <f t="shared" si="15"/>
        <v>71.551500000000004</v>
      </c>
      <c r="AK27" s="39">
        <f t="shared" si="15"/>
        <v>73.595999999999989</v>
      </c>
      <c r="AL27" s="40">
        <f t="shared" si="15"/>
        <v>613.20999999999992</v>
      </c>
      <c r="AM27" s="40">
        <f t="shared" si="15"/>
        <v>564.08850000000007</v>
      </c>
      <c r="AN27" s="40">
        <f t="shared" si="15"/>
        <v>575.5569999999999</v>
      </c>
      <c r="AO27" s="40">
        <f t="shared" si="15"/>
        <v>556.09850000000006</v>
      </c>
      <c r="AP27" s="40">
        <f t="shared" si="15"/>
        <v>571.12400000000002</v>
      </c>
      <c r="AQ27" s="28">
        <f t="shared" si="15"/>
        <v>2880.078</v>
      </c>
    </row>
    <row r="28" spans="1:43" x14ac:dyDescent="0.2">
      <c r="D28" t="s">
        <v>76</v>
      </c>
      <c r="E28" s="34">
        <f>SUM(E4:E23)</f>
        <v>277</v>
      </c>
      <c r="F28" s="20">
        <f t="shared" ref="F28:AQ28" si="16">SUM(F4:F23)</f>
        <v>985</v>
      </c>
      <c r="G28" s="20">
        <f t="shared" si="16"/>
        <v>912</v>
      </c>
      <c r="H28" s="20">
        <f t="shared" si="16"/>
        <v>925</v>
      </c>
      <c r="I28" s="20">
        <f t="shared" si="16"/>
        <v>890</v>
      </c>
      <c r="J28" s="20">
        <f t="shared" si="16"/>
        <v>942</v>
      </c>
      <c r="K28" s="34"/>
      <c r="L28" s="34">
        <f t="shared" si="16"/>
        <v>277</v>
      </c>
      <c r="M28" s="35">
        <f t="shared" si="16"/>
        <v>13809</v>
      </c>
      <c r="N28" s="35">
        <f t="shared" si="16"/>
        <v>12660</v>
      </c>
      <c r="O28" s="35">
        <f t="shared" si="16"/>
        <v>12863</v>
      </c>
      <c r="P28" s="35">
        <f t="shared" si="16"/>
        <v>12481</v>
      </c>
      <c r="Q28" s="35">
        <f t="shared" si="16"/>
        <v>12803</v>
      </c>
      <c r="R28" s="36">
        <f t="shared" si="16"/>
        <v>62</v>
      </c>
      <c r="S28" s="36">
        <f t="shared" si="16"/>
        <v>24</v>
      </c>
      <c r="T28" s="36">
        <f t="shared" si="16"/>
        <v>27</v>
      </c>
      <c r="U28" s="36">
        <f t="shared" si="16"/>
        <v>23</v>
      </c>
      <c r="V28" s="36">
        <f t="shared" si="16"/>
        <v>40</v>
      </c>
      <c r="W28" s="37">
        <f t="shared" si="16"/>
        <v>178.8</v>
      </c>
      <c r="X28" s="37">
        <f t="shared" si="16"/>
        <v>58</v>
      </c>
      <c r="Y28" s="37">
        <f t="shared" si="16"/>
        <v>99.2</v>
      </c>
      <c r="Z28" s="37">
        <f t="shared" si="16"/>
        <v>72</v>
      </c>
      <c r="AA28" s="37">
        <f t="shared" si="16"/>
        <v>91.4</v>
      </c>
      <c r="AB28" s="38">
        <f t="shared" si="16"/>
        <v>13987.800000000001</v>
      </c>
      <c r="AC28" s="38">
        <f t="shared" si="16"/>
        <v>12718.000000000002</v>
      </c>
      <c r="AD28" s="38">
        <f t="shared" si="16"/>
        <v>12962.199999999999</v>
      </c>
      <c r="AE28" s="38">
        <f t="shared" si="16"/>
        <v>12553</v>
      </c>
      <c r="AF28" s="38">
        <f t="shared" si="16"/>
        <v>12894.399999999998</v>
      </c>
      <c r="AG28" s="39">
        <f t="shared" si="16"/>
        <v>1723.6</v>
      </c>
      <c r="AH28" s="39">
        <f t="shared" si="16"/>
        <v>1436.2299999999998</v>
      </c>
      <c r="AI28" s="39">
        <f t="shared" si="16"/>
        <v>1451.0600000000002</v>
      </c>
      <c r="AJ28" s="39">
        <f t="shared" si="16"/>
        <v>1431.03</v>
      </c>
      <c r="AK28" s="39">
        <f t="shared" si="16"/>
        <v>1471.9199999999998</v>
      </c>
      <c r="AL28" s="40">
        <f t="shared" si="16"/>
        <v>12264.199999999999</v>
      </c>
      <c r="AM28" s="40">
        <f t="shared" si="16"/>
        <v>11281.770000000002</v>
      </c>
      <c r="AN28" s="40">
        <f t="shared" si="16"/>
        <v>11511.139999999998</v>
      </c>
      <c r="AO28" s="40">
        <f t="shared" si="16"/>
        <v>11121.970000000001</v>
      </c>
      <c r="AP28" s="40">
        <f t="shared" si="16"/>
        <v>11422.48</v>
      </c>
      <c r="AQ28" s="28">
        <f t="shared" si="16"/>
        <v>57601.56</v>
      </c>
    </row>
    <row r="29" spans="1:43" x14ac:dyDescent="0.2">
      <c r="AB29" s="29"/>
      <c r="AC29" s="29"/>
      <c r="AD29" s="29"/>
      <c r="AE29" s="29"/>
      <c r="AF29" s="29"/>
    </row>
    <row r="38" spans="2:2" x14ac:dyDescent="0.2">
      <c r="B38" t="s">
        <v>42</v>
      </c>
    </row>
    <row r="39" spans="2:2" x14ac:dyDescent="0.2">
      <c r="B39" t="s">
        <v>29</v>
      </c>
    </row>
    <row r="40" spans="2:2" x14ac:dyDescent="0.2">
      <c r="B40" t="s">
        <v>33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 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Babalola Mary</dc:creator>
  <cp:lastModifiedBy>Babalola Mary</cp:lastModifiedBy>
  <dcterms:created xsi:type="dcterms:W3CDTF">2026-02-03T10:19:49Z</dcterms:created>
  <dcterms:modified xsi:type="dcterms:W3CDTF">2026-02-03T14:25:18Z</dcterms:modified>
</cp:coreProperties>
</file>